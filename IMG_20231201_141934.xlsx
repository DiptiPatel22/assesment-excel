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6a70c1381c2707/Documents/"/>
    </mc:Choice>
  </mc:AlternateContent>
  <xr:revisionPtr revIDLastSave="0" documentId="8_{BDAC5FBF-3760-4C2F-902C-557668716B6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Q3" sheetId="3" r:id="rId1"/>
    <sheet name="Q4" sheetId="4" r:id="rId2"/>
    <sheet name="Data- Q1-Q2 Ans" sheetId="2" r:id="rId3"/>
    <sheet name="pivot table" sheetId="1" r:id="rId4"/>
  </sheets>
  <definedNames>
    <definedName name="ExternalData_1" localSheetId="2" hidden="1">'Data- Q1-Q2 Ans'!$A$1:$I$48</definedName>
  </definedNames>
  <calcPr calcId="124519"/>
  <pivotCaches>
    <pivotCache cacheId="2" r:id="rId5"/>
    <pivotCache cacheId="7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7F8182-CFA5-4ACA-AC88-41E62892F59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<sst xmlns="http://schemas.openxmlformats.org/spreadsheetml/2006/main" count="704" uniqueCount="115">
  <si>
    <t>HP Finance</t>
  </si>
  <si>
    <t>Debit Order</t>
  </si>
  <si>
    <t>Interest paid</t>
  </si>
  <si>
    <t>E</t>
  </si>
  <si>
    <t>B1</t>
  </si>
  <si>
    <t>IS-500</t>
  </si>
  <si>
    <t>tax code</t>
  </si>
  <si>
    <t>Row Labels</t>
  </si>
  <si>
    <t>'1:'f Solutions</t>
  </si>
  <si>
    <t>CapitalBank</t>
  </si>
  <si>
    <t>City Lodge</t>
  </si>
  <si>
    <t>EAG Brokers</t>
  </si>
  <si>
    <t>Example (Ply) Lid</t>
  </si>
  <si>
    <t>Example (Ply) ltd</t>
  </si>
  <si>
    <t>Furniture City</t>
  </si>
  <si>
    <t>GF Supplies</t>
  </si>
  <si>
    <t>IAS Accountants</t>
  </si>
  <si>
    <t>IASAccountants</t>
  </si>
  <si>
    <t>Inland Revenue</t>
  </si>
  <si>
    <t>IS Communications</t>
  </si>
  <si>
    <t>lnterflora</t>
  </si>
  <si>
    <t>Newscorp</t>
  </si>
  <si>
    <t>PR Properties</t>
  </si>
  <si>
    <t>QQ International</t>
  </si>
  <si>
    <t>TrainingInc</t>
  </si>
  <si>
    <t>Waltons</t>
  </si>
  <si>
    <t>Grand Total</t>
  </si>
  <si>
    <t>Count of tax code</t>
  </si>
  <si>
    <t>Document Date</t>
  </si>
  <si>
    <t>Solutions</t>
  </si>
  <si>
    <t>Suoolier</t>
  </si>
  <si>
    <t>Reference</t>
  </si>
  <si>
    <t>Description</t>
  </si>
  <si>
    <t>Tax Inclusive Amount</t>
  </si>
  <si>
    <t>Payment Date</t>
  </si>
  <si>
    <t>sms2</t>
  </si>
  <si>
    <t>Opening Balance</t>
  </si>
  <si>
    <t>5.100.00</t>
  </si>
  <si>
    <t>A</t>
  </si>
  <si>
    <t>BS-500</t>
  </si>
  <si>
    <t>3/2120 11</t>
  </si>
  <si>
    <t>Invoice EXP22</t>
  </si>
  <si>
    <t>Internet Ser.ice Provider</t>
  </si>
  <si>
    <t>IS-380</t>
  </si>
  <si>
    <t>Subscriptions</t>
  </si>
  <si>
    <t>IS-375</t>
  </si>
  <si>
    <t>Insurance</t>
  </si>
  <si>
    <t>IS-340</t>
  </si>
  <si>
    <t>Bank Statement</t>
  </si>
  <si>
    <t>Sel'lice Fees</t>
  </si>
  <si>
    <t>IS-315</t>
  </si>
  <si>
    <t>Service Fees</t>
  </si>
  <si>
    <t>B2</t>
  </si>
  <si>
    <t>Invoice</t>
  </si>
  <si>
    <t>Bookkeeping</t>
  </si>
  <si>
    <t>IS-305</t>
  </si>
  <si>
    <t>412/20 11</t>
  </si>
  <si>
    <t>Cash</t>
  </si>
  <si>
    <t>Flowers</t>
  </si>
  <si>
    <t>PC</t>
  </si>
  <si>
    <t>IS-345</t>
  </si>
  <si>
    <t>3118/2011</t>
  </si>
  <si>
    <t>TR6998</t>
  </si>
  <si>
    <t>Parking</t>
  </si>
  <si>
    <t>IS-390</t>
  </si>
  <si>
    <t>3120/2011</t>
  </si>
  <si>
    <t>Transfer</t>
  </si>
  <si>
    <t>Inter Account Transfer</t>
  </si>
  <si>
    <t>BS-399</t>
  </si>
  <si>
    <t>3126/2011</t>
  </si>
  <si>
    <t>Payroll</t>
  </si>
  <si>
    <t>Salaries</t>
  </si>
  <si>
    <t>IS-365</t>
  </si>
  <si>
    <t>Capital repayment</t>
  </si>
  <si>
    <t>BS-700</t>
  </si>
  <si>
    <t>Rent</t>
  </si>
  <si>
    <t>IS-350</t>
  </si>
  <si>
    <t>Petty Cash Reimbursement</t>
  </si>
  <si>
    <t>3131/2011</t>
  </si>
  <si>
    <t>Invoice EXP23</t>
  </si>
  <si>
    <t>511/2011</t>
  </si>
  <si>
    <t>513/2011</t>
  </si>
  <si>
    <t>-20.000.00</t>
  </si>
  <si>
    <t>Return</t>
  </si>
  <si>
    <t>Sales Tax</t>
  </si>
  <si>
    <t>BS-600</t>
  </si>
  <si>
    <t>4125/2011</t>
  </si>
  <si>
    <t>20 .000.00</t>
  </si>
  <si>
    <t>4126/2011</t>
  </si>
  <si>
    <t>Furniture</t>
  </si>
  <si>
    <t>BS-100</t>
  </si>
  <si>
    <t>5126/2011</t>
  </si>
  <si>
    <t>IN1179</t>
  </si>
  <si>
    <t>Consumables</t>
  </si>
  <si>
    <t>IS-325</t>
  </si>
  <si>
    <t>5129/2011</t>
  </si>
  <si>
    <t>4130/2011</t>
  </si>
  <si>
    <t>Invoice EXP24</t>
  </si>
  <si>
    <t>5131/2011</t>
  </si>
  <si>
    <t>Course</t>
  </si>
  <si>
    <t>IS-385</t>
  </si>
  <si>
    <t>515120 11</t>
  </si>
  <si>
    <t>S50037</t>
  </si>
  <si>
    <t>Accommodation</t>
  </si>
  <si>
    <t>517/2011</t>
  </si>
  <si>
    <t>Stationery</t>
  </si>
  <si>
    <t>IS-370</t>
  </si>
  <si>
    <t>5115/2011</t>
  </si>
  <si>
    <t>612120 11</t>
  </si>
  <si>
    <t>Bank
Code</t>
  </si>
  <si>
    <t>Account
Code</t>
  </si>
  <si>
    <t>Example (Ply) Ltd</t>
  </si>
  <si>
    <t>Tax code</t>
  </si>
  <si>
    <t>Sum of Tax Inclusive Amount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</si>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</sst>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d/yyyy;@"/>
    <numFmt numFmtId="165" formatCode="###0;###0"/>
    <numFmt numFmtId="166" formatCode="###0.00;###0.00"/>
    <numFmt numFmtId="167" formatCode="d/m/yyyy;@"/>
    <numFmt numFmtId="168" formatCode="#,##0.00;#,##0.00"/>
    <numFmt numFmtId="169" formatCode="###0.00"/>
    <numFmt numFmtId="170" formatCode="d/mm/yyyy;@"/>
  </numFmts>
  <fonts count="3" x14ac:knownFonts="1">
    <font>
      <sz val="10"/>
      <color rgb="FF000000"/>
      <name val="Times New Roman"/>
      <charset val="204"/>
    </font>
    <font>
      <sz val="12"/>
      <name val="Calibri"/>
      <family val="2"/>
      <scheme val="minor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0" xfId="0" pivotButton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left" vertical="top" wrapText="1"/>
    </xf>
    <xf numFmtId="166" fontId="1" fillId="0" borderId="1" xfId="0" applyNumberFormat="1" applyFont="1" applyBorder="1" applyAlignment="1">
      <alignment horizontal="left" vertical="top" wrapText="1"/>
    </xf>
    <xf numFmtId="168" fontId="1" fillId="0" borderId="1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169" fontId="1" fillId="0" borderId="1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0" borderId="11" xfId="0" applyFont="1" applyBorder="1" applyAlignment="1">
      <alignment horizontal="left" vertical="top" wrapText="1"/>
    </xf>
    <xf numFmtId="164" fontId="1" fillId="0" borderId="11" xfId="0" applyNumberFormat="1" applyFont="1" applyBorder="1" applyAlignment="1">
      <alignment horizontal="left" vertical="top" wrapText="1"/>
    </xf>
    <xf numFmtId="165" fontId="1" fillId="0" borderId="11" xfId="0" applyNumberFormat="1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left" vertical="top" wrapText="1"/>
    </xf>
    <xf numFmtId="167" fontId="1" fillId="0" borderId="12" xfId="0" applyNumberFormat="1" applyFont="1" applyBorder="1" applyAlignment="1">
      <alignment horizontal="left" vertical="top" wrapText="1"/>
    </xf>
    <xf numFmtId="165" fontId="1" fillId="0" borderId="12" xfId="0" applyNumberFormat="1" applyFont="1" applyBorder="1" applyAlignment="1">
      <alignment horizontal="left" vertical="top" wrapText="1"/>
    </xf>
    <xf numFmtId="170" fontId="1" fillId="0" borderId="12" xfId="0" applyNumberFormat="1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left" vertical="top" wrapText="1"/>
    </xf>
    <xf numFmtId="14" fontId="1" fillId="0" borderId="16" xfId="0" applyNumberFormat="1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7" xfId="0" applyFont="1" applyBorder="1" applyAlignment="1">
      <alignment horizontal="center"/>
    </xf>
    <xf numFmtId="14" fontId="1" fillId="0" borderId="18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###0;###0"/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 Patel" refreshedDate="45265.877550578705" createdVersion="8" refreshedVersion="8" minRefreshableVersion="3" recordCount="47" xr:uid="{B34EB00F-8C1C-4F5A-891A-AD2D8FAC7561}">
  <cacheSource type="worksheet">
    <worksheetSource ref="A1:I48" sheet="pivot table"/>
  </cacheSource>
  <cacheFields count="9">
    <cacheField name="Document Date" numFmtId="0">
      <sharedItems containsDate="1" containsMixedTypes="1" minDate="2011-02-14T00:00:00" maxDate="2011-05-27T00:00:00"/>
    </cacheField>
    <cacheField name="Suoolier" numFmtId="0">
      <sharedItems count="19">
        <s v="'1:'f Solutions"/>
        <s v="IS Communications"/>
        <s v="Newscorp"/>
        <s v="EAG Brokers"/>
        <s v="CapitalBank"/>
        <s v="IAS Accountants"/>
        <s v="lnterflora"/>
        <s v="QQ International"/>
        <s v="Example (Ply) ltd"/>
        <s v="HP Finance"/>
        <s v="PR Properties"/>
        <s v="IASAccountants"/>
        <s v="Inland Revenue"/>
        <s v="Furniture City"/>
        <s v="GF Supplies"/>
        <s v="TrainingInc"/>
        <s v="City Lodge"/>
        <s v="Waltons"/>
        <s v="Example (Ply) Lid"/>
      </sharedItems>
    </cacheField>
    <cacheField name="Reference" numFmtId="0">
      <sharedItems containsMixedTypes="1" containsNumber="1" containsInteger="1" minValue="1381119" maxValue="1381119"/>
    </cacheField>
    <cacheField name="Description" numFmtId="0">
      <sharedItems/>
    </cacheField>
    <cacheField name="Tax Inclusive Amount" numFmtId="0">
      <sharedItems containsMixedTypes="1" containsNumber="1" containsInteger="1" minValue="-20000" maxValue="20000"/>
    </cacheField>
    <cacheField name="tax code" numFmtId="0">
      <sharedItems count="2">
        <s v="A"/>
        <s v="E"/>
      </sharedItems>
    </cacheField>
    <cacheField name="Bank_x000a_Code" numFmtId="0">
      <sharedItems containsMixedTypes="1" containsNumber="1" containsInteger="1" minValue="62" maxValue="81"/>
    </cacheField>
    <cacheField name="Account_x000a_Code" numFmtId="0">
      <sharedItems count="18">
        <s v="BS-500"/>
        <s v="IS-380"/>
        <s v="IS-375"/>
        <s v="IS-340"/>
        <s v="IS-315"/>
        <s v="IS-305"/>
        <s v="IS-345"/>
        <s v="IS-390"/>
        <s v="BS-399"/>
        <s v="IS-365"/>
        <s v="BS-700"/>
        <s v="IS-500"/>
        <s v="IS-350"/>
        <s v="BS-600"/>
        <s v="BS-100"/>
        <s v="IS-325"/>
        <s v="IS-385"/>
        <s v="IS-370"/>
      </sharedItems>
    </cacheField>
    <cacheField name="Payment Date" numFmtId="0">
      <sharedItems containsDate="1" containsMixedTypes="1" minDate="2011-01-04T00:00:00" maxDate="2011-12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 Patel" refreshedDate="45288.62533865741" createdVersion="8" refreshedVersion="8" minRefreshableVersion="3" recordCount="47" xr:uid="{913F5724-9466-496B-85A6-B16E57F211CD}">
  <cacheSource type="worksheet">
    <worksheetSource name="Table1_2"/>
  </cacheSource>
  <cacheFields count="9">
    <cacheField name="Document Date" numFmtId="0">
      <sharedItems containsMixedTypes="1" containsNumber="1" containsInteger="1" minValue="40588" maxValue="512612011"/>
    </cacheField>
    <cacheField name="Suoolier" numFmtId="0">
      <sharedItems count="19">
        <s v="Solutions"/>
        <s v="IS Communications"/>
        <s v="Newscorp"/>
        <s v="EAG Brokers"/>
        <s v="CapitalBank"/>
        <s v="IAS Accountants"/>
        <s v="lnterflora"/>
        <s v="QQ International"/>
        <s v="Example (Ply) ltd"/>
        <s v="HP Finance"/>
        <s v="PR Properties"/>
        <s v="IASAccountants"/>
        <s v="Inland Revenue"/>
        <s v="Furniture City"/>
        <s v="GF Supplies"/>
        <s v="TrainingInc"/>
        <s v="City Lodge"/>
        <s v="Waltons"/>
        <s v="Example (Ply) Lid"/>
      </sharedItems>
    </cacheField>
    <cacheField name="Reference" numFmtId="0">
      <sharedItems containsMixedTypes="1" containsNumber="1" containsInteger="1" minValue="1381119" maxValue="1381119"/>
    </cacheField>
    <cacheField name="Description" numFmtId="0">
      <sharedItems/>
    </cacheField>
    <cacheField name="Tax Inclusive Amount" numFmtId="0">
      <sharedItems containsSemiMixedTypes="0" containsString="0" containsNumber="1" containsInteger="1" minValue="-20000" maxValue="20000"/>
    </cacheField>
    <cacheField name="Tax code" numFmtId="0">
      <sharedItems/>
    </cacheField>
    <cacheField name="Bank_x000a_Code" numFmtId="0">
      <sharedItems containsMixedTypes="1" containsNumber="1" containsInteger="1" minValue="62" maxValue="81"/>
    </cacheField>
    <cacheField name="Account_x000a_Code" numFmtId="0">
      <sharedItems count="18">
        <s v="BS-500"/>
        <s v="IS-380"/>
        <s v="IS-375"/>
        <s v="IS-340"/>
        <s v="IS-315"/>
        <s v="IS-305"/>
        <s v="IS-345"/>
        <s v="IS-390"/>
        <s v="BS-399"/>
        <s v="IS-365"/>
        <s v="BS-700"/>
        <s v="IS-500"/>
        <s v="IS-350"/>
        <s v="BS-600"/>
        <s v="BS-100"/>
        <s v="IS-325"/>
        <s v="IS-385"/>
        <s v="IS-370"/>
      </sharedItems>
    </cacheField>
    <cacheField name="Payment Date" numFmtId="0">
      <sharedItems containsMixedTypes="1" containsNumber="1" containsInteger="1" minValue="40547" maxValue="31512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d v="2011-02-14T00:00:00"/>
    <x v="0"/>
    <s v="sms2"/>
    <s v="Opening Balance"/>
    <s v="5.100.00"/>
    <x v="0"/>
    <s v="B1"/>
    <x v="0"/>
    <s v="3/2120 11"/>
  </r>
  <r>
    <n v="31112011"/>
    <x v="1"/>
    <s v="Invoice EXP22"/>
    <s v="Internet Ser.ice Provider"/>
    <n v="179"/>
    <x v="0"/>
    <s v="B1"/>
    <x v="1"/>
    <d v="2011-03-31T00:00:00"/>
  </r>
  <r>
    <n v="31212011"/>
    <x v="2"/>
    <n v="1381119"/>
    <s v="Subscriptions"/>
    <n v="478"/>
    <x v="0"/>
    <s v="B1"/>
    <x v="2"/>
    <d v="2011-01-04T00:00:00"/>
  </r>
  <r>
    <n v="31512011"/>
    <x v="3"/>
    <s v="Debit Order"/>
    <s v="Insurance"/>
    <n v="340"/>
    <x v="0"/>
    <s v="B1"/>
    <x v="3"/>
    <n v="31512011"/>
  </r>
  <r>
    <n v="311512011"/>
    <x v="4"/>
    <s v="Bank Statement"/>
    <s v="Sel'lice Fees"/>
    <n v="50"/>
    <x v="0"/>
    <s v="B1"/>
    <x v="4"/>
    <d v="2011-03-15T00:00:00"/>
  </r>
  <r>
    <n v="311512011"/>
    <x v="4"/>
    <s v="Bank Statement"/>
    <s v="Service Fees"/>
    <n v="35"/>
    <x v="0"/>
    <s v="B2"/>
    <x v="4"/>
    <d v="2011-03-15T00:00:00"/>
  </r>
  <r>
    <n v="311512011"/>
    <x v="5"/>
    <s v="Invoice"/>
    <s v="Bookkeeping"/>
    <n v="1000"/>
    <x v="0"/>
    <s v="B1"/>
    <x v="5"/>
    <s v="412/20 11"/>
  </r>
  <r>
    <n v="311512011"/>
    <x v="6"/>
    <s v="Cash"/>
    <s v="Flowers"/>
    <n v="90"/>
    <x v="0"/>
    <s v="PC"/>
    <x v="6"/>
    <d v="2011-03-15T00:00:00"/>
  </r>
  <r>
    <s v="3118/2011"/>
    <x v="7"/>
    <s v="TR6998"/>
    <s v="Parking"/>
    <n v="200"/>
    <x v="0"/>
    <s v="B1"/>
    <x v="7"/>
    <d v="2011-03-18T00:00:00"/>
  </r>
  <r>
    <s v="3120/2011"/>
    <x v="8"/>
    <s v="Transfer"/>
    <s v="Inter Account Transfer"/>
    <n v="-15000"/>
    <x v="1"/>
    <s v="B2"/>
    <x v="8"/>
    <d v="2011-03-20T00:00:00"/>
  </r>
  <r>
    <n v="312012011"/>
    <x v="8"/>
    <s v="Transfer"/>
    <s v="Inter Account Transfer"/>
    <n v="15000"/>
    <x v="1"/>
    <s v="B1"/>
    <x v="8"/>
    <d v="2011-03-20T00:00:00"/>
  </r>
  <r>
    <s v="3126/2011"/>
    <x v="8"/>
    <s v="Payroll"/>
    <s v="Salaries"/>
    <n v="13000"/>
    <x v="1"/>
    <s v="B2"/>
    <x v="9"/>
    <s v="3126/2011"/>
  </r>
  <r>
    <n v="312612011"/>
    <x v="9"/>
    <s v="Debit Order"/>
    <s v="Capital repayment"/>
    <n v="220"/>
    <x v="1"/>
    <s v="B1"/>
    <x v="10"/>
    <s v="3126/2011"/>
  </r>
  <r>
    <n v="312612011"/>
    <x v="9"/>
    <s v="Debit Order"/>
    <s v="Interest paid"/>
    <n v="100"/>
    <x v="1"/>
    <s v="B1"/>
    <x v="11"/>
    <s v="3126/2011"/>
  </r>
  <r>
    <n v="312612011"/>
    <x v="10"/>
    <s v="Debit Order"/>
    <s v="Rent"/>
    <n v="6400"/>
    <x v="0"/>
    <s v="B1"/>
    <x v="12"/>
    <s v="3126/2011"/>
  </r>
  <r>
    <n v="313112011"/>
    <x v="8"/>
    <s v="Bank Statement"/>
    <s v="Petty Cash Reimbursement"/>
    <n v="100"/>
    <x v="1"/>
    <s v="B1"/>
    <x v="8"/>
    <d v="2011-03-31T00:00:00"/>
  </r>
  <r>
    <n v="313112011"/>
    <x v="8"/>
    <s v="Bank Statement"/>
    <s v="Petty Cash Reimbursement"/>
    <n v="-100"/>
    <x v="1"/>
    <s v="PC"/>
    <x v="8"/>
    <s v="3131/2011"/>
  </r>
  <r>
    <n v="41112011"/>
    <x v="1"/>
    <s v="Invoice EXP23"/>
    <s v="Internet Ser.ice Provider"/>
    <n v="179"/>
    <x v="0"/>
    <s v="B1"/>
    <x v="1"/>
    <s v="511/2011"/>
  </r>
  <r>
    <n v="41512011"/>
    <x v="3"/>
    <s v="Debit Order"/>
    <s v="Insurance"/>
    <n v="340"/>
    <x v="0"/>
    <s v="B1"/>
    <x v="3"/>
    <d v="2011-05-04T00:00:00"/>
  </r>
  <r>
    <n v="411212011"/>
    <x v="6"/>
    <s v="Cash"/>
    <s v="Flowers"/>
    <n v="87"/>
    <x v="0"/>
    <s v="PC"/>
    <x v="6"/>
    <d v="2011-12-04T00:00:00"/>
  </r>
  <r>
    <n v="411512011"/>
    <x v="4"/>
    <s v="Bank Statement"/>
    <s v="Sel'lice Fees"/>
    <n v="80"/>
    <x v="0"/>
    <s v="B1"/>
    <x v="4"/>
    <d v="2011-04-15T00:00:00"/>
  </r>
  <r>
    <n v="411512011"/>
    <x v="4"/>
    <s v="Bank Statement"/>
    <s v="Service Fees"/>
    <n v="35"/>
    <x v="0"/>
    <s v="B2"/>
    <x v="4"/>
    <d v="2011-04-15T00:00:00"/>
  </r>
  <r>
    <n v="411512011"/>
    <x v="11"/>
    <s v="Invoice"/>
    <s v="Bookkeeping"/>
    <n v="1000"/>
    <x v="0"/>
    <s v="B1"/>
    <x v="5"/>
    <s v="513/2011"/>
  </r>
  <r>
    <n v="412012011"/>
    <x v="8"/>
    <s v="Transfer"/>
    <s v="Inter Account Transfer"/>
    <s v="-20.000.00"/>
    <x v="1"/>
    <s v="B2"/>
    <x v="8"/>
    <d v="2011-04-20T00:00:00"/>
  </r>
  <r>
    <n v="412012011"/>
    <x v="8"/>
    <s v="Transfer"/>
    <s v="Inter Account Transfer"/>
    <n v="20000"/>
    <x v="1"/>
    <s v="B1"/>
    <x v="8"/>
    <d v="2011-04-20T00:00:00"/>
  </r>
  <r>
    <n v="412512011"/>
    <x v="12"/>
    <s v="Return"/>
    <s v="Sales Tax"/>
    <n v="1300"/>
    <x v="1"/>
    <s v="B1"/>
    <x v="13"/>
    <s v="4125/2011"/>
  </r>
  <r>
    <n v="412612011"/>
    <x v="8"/>
    <s v="Payroll"/>
    <s v="Salaries"/>
    <s v="20 .000.00"/>
    <x v="1"/>
    <s v="B2"/>
    <x v="9"/>
    <s v="4126/2011"/>
  </r>
  <r>
    <n v="412612011"/>
    <x v="13"/>
    <s v="Invoice"/>
    <s v="Furniture"/>
    <n v="3000"/>
    <x v="0"/>
    <s v="B1"/>
    <x v="14"/>
    <s v="5126/2011"/>
  </r>
  <r>
    <n v="412612011"/>
    <x v="9"/>
    <s v="Debit Order"/>
    <s v="Capital repayment"/>
    <n v="220"/>
    <x v="1"/>
    <s v="B1"/>
    <x v="10"/>
    <s v="4126/2011"/>
  </r>
  <r>
    <n v="412612011"/>
    <x v="9"/>
    <s v="Debit Order"/>
    <s v="Interest paid"/>
    <n v="100"/>
    <x v="1"/>
    <s v="B1"/>
    <x v="11"/>
    <s v="4126/2011"/>
  </r>
  <r>
    <n v="412612011"/>
    <x v="10"/>
    <s v="Debit Order"/>
    <s v="Rent"/>
    <n v="6400"/>
    <x v="0"/>
    <s v="B1"/>
    <x v="12"/>
    <s v="4126/2011"/>
  </r>
  <r>
    <n v="412912011"/>
    <x v="14"/>
    <s v="IN1179"/>
    <s v="Consumables"/>
    <n v="41"/>
    <x v="0"/>
    <s v="PC"/>
    <x v="15"/>
    <s v="5129/2011"/>
  </r>
  <r>
    <n v="413012011"/>
    <x v="8"/>
    <s v="Bank Statement"/>
    <s v="Petty Cash Reimbursement"/>
    <n v="100"/>
    <x v="1"/>
    <s v="B1"/>
    <x v="8"/>
    <s v="4130/2011"/>
  </r>
  <r>
    <n v="413012011"/>
    <x v="8"/>
    <s v="Bank Statement"/>
    <s v="Petty Cash Reimbursement"/>
    <n v="-100"/>
    <x v="1"/>
    <s v="PC"/>
    <x v="8"/>
    <s v="4130/2011"/>
  </r>
  <r>
    <n v="51112011"/>
    <x v="1"/>
    <s v="Invoice EXP24"/>
    <s v="Internet Ser.ice Provider"/>
    <n v="179"/>
    <x v="0"/>
    <s v="B1"/>
    <x v="1"/>
    <s v="5131/2011"/>
  </r>
  <r>
    <n v="51112011"/>
    <x v="15"/>
    <s v="Invoice"/>
    <s v="Course"/>
    <n v="220"/>
    <x v="0"/>
    <s v="B1"/>
    <x v="16"/>
    <d v="2011-05-31T00:00:00"/>
  </r>
  <r>
    <n v="51512011"/>
    <x v="3"/>
    <s v="Debit Order"/>
    <s v="Insurance"/>
    <n v="340"/>
    <x v="0"/>
    <s v="B1"/>
    <x v="3"/>
    <s v="515120 11"/>
  </r>
  <r>
    <n v="51712011"/>
    <x v="16"/>
    <s v="S50037"/>
    <s v="Accommodation"/>
    <n v="563"/>
    <x v="0"/>
    <s v="B1"/>
    <x v="7"/>
    <s v="517/2011"/>
  </r>
  <r>
    <n v="51712011"/>
    <x v="17"/>
    <s v="Invoice"/>
    <s v="Stationery"/>
    <n v="982"/>
    <x v="0"/>
    <n v="81"/>
    <x v="17"/>
    <d v="2011-06-06T00:00:00"/>
  </r>
  <r>
    <n v="511512011"/>
    <x v="4"/>
    <s v="Bank Statement"/>
    <s v="Service Fees"/>
    <n v="80"/>
    <x v="0"/>
    <s v="B1"/>
    <x v="4"/>
    <s v="5115/2011"/>
  </r>
  <r>
    <n v="511512011"/>
    <x v="4"/>
    <s v="Bank Statement"/>
    <s v="Service Fees"/>
    <n v="35"/>
    <x v="0"/>
    <n v="62"/>
    <x v="4"/>
    <s v="5115/2011"/>
  </r>
  <r>
    <n v="511512011"/>
    <x v="5"/>
    <s v="Invoice"/>
    <s v="Bookkeeping"/>
    <n v="1000"/>
    <x v="0"/>
    <s v="B1"/>
    <x v="5"/>
    <s v="612120 11"/>
  </r>
  <r>
    <n v="512012011"/>
    <x v="18"/>
    <s v="Transfer"/>
    <s v="Inter Account Transfer"/>
    <n v="-20000"/>
    <x v="1"/>
    <s v="B2"/>
    <x v="8"/>
    <d v="2011-05-20T00:00:00"/>
  </r>
  <r>
    <n v="512012011"/>
    <x v="8"/>
    <s v="Transfer"/>
    <s v="Inter Account Transfer"/>
    <s v="20 .000.00"/>
    <x v="1"/>
    <s v="B1"/>
    <x v="8"/>
    <d v="2011-05-20T00:00:00"/>
  </r>
  <r>
    <n v="512612011"/>
    <x v="8"/>
    <s v="Payroll"/>
    <s v="Salaries"/>
    <n v="20000"/>
    <x v="1"/>
    <s v="B2"/>
    <x v="9"/>
    <s v="5126/2011"/>
  </r>
  <r>
    <s v="5126/2011"/>
    <x v="9"/>
    <s v="Debit Order"/>
    <s v="Capital repayment"/>
    <n v="220"/>
    <x v="1"/>
    <s v="B1"/>
    <x v="10"/>
    <s v="5126/2011"/>
  </r>
  <r>
    <d v="2011-05-26T00:00:00"/>
    <x v="9"/>
    <s v="Debit Order"/>
    <s v="Interest paid"/>
    <n v="100"/>
    <x v="1"/>
    <s v="B1"/>
    <x v="11"/>
    <d v="2011-05-26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40588"/>
    <x v="0"/>
    <s v="sms2"/>
    <s v="Opening Balance"/>
    <n v="5100"/>
    <s v="A"/>
    <s v="B1"/>
    <x v="0"/>
    <s v="3/2120 11"/>
  </r>
  <r>
    <n v="31112011"/>
    <x v="1"/>
    <s v="Invoice EXP22"/>
    <s v="Internet Ser.ice Provider"/>
    <n v="179"/>
    <s v="A"/>
    <s v="B1"/>
    <x v="1"/>
    <n v="40633"/>
  </r>
  <r>
    <n v="31212011"/>
    <x v="2"/>
    <n v="1381119"/>
    <s v="Subscriptions"/>
    <n v="478"/>
    <s v="A"/>
    <s v="B1"/>
    <x v="2"/>
    <n v="40547"/>
  </r>
  <r>
    <n v="31512011"/>
    <x v="3"/>
    <s v="Debit Order"/>
    <s v="Insurance"/>
    <n v="340"/>
    <s v="A"/>
    <s v="B1"/>
    <x v="3"/>
    <n v="31512011"/>
  </r>
  <r>
    <n v="311512011"/>
    <x v="4"/>
    <s v="Bank Statement"/>
    <s v="Sel'lice Fees"/>
    <n v="50"/>
    <s v="A"/>
    <s v="B1"/>
    <x v="4"/>
    <n v="40617"/>
  </r>
  <r>
    <n v="311512011"/>
    <x v="4"/>
    <s v="Bank Statement"/>
    <s v="Service Fees"/>
    <n v="35"/>
    <s v="A"/>
    <s v="B2"/>
    <x v="4"/>
    <n v="40617"/>
  </r>
  <r>
    <n v="311512011"/>
    <x v="5"/>
    <s v="Invoice"/>
    <s v="Bookkeeping"/>
    <n v="1000"/>
    <s v="A"/>
    <s v="B1"/>
    <x v="5"/>
    <s v="412/20 11"/>
  </r>
  <r>
    <n v="311512011"/>
    <x v="6"/>
    <s v="Cash"/>
    <s v="Flowers"/>
    <n v="90"/>
    <s v="A"/>
    <s v="PC"/>
    <x v="6"/>
    <n v="40617"/>
  </r>
  <r>
    <s v="3118/2011"/>
    <x v="7"/>
    <s v="TR6998"/>
    <s v="Parking"/>
    <n v="200"/>
    <s v="A"/>
    <s v="B1"/>
    <x v="7"/>
    <n v="40620"/>
  </r>
  <r>
    <s v="3120/2011"/>
    <x v="8"/>
    <s v="Transfer"/>
    <s v="Inter Account Transfer"/>
    <n v="-15000"/>
    <s v="E"/>
    <s v="B2"/>
    <x v="8"/>
    <n v="40622"/>
  </r>
  <r>
    <n v="312012011"/>
    <x v="8"/>
    <s v="Transfer"/>
    <s v="Inter Account Transfer"/>
    <n v="15000"/>
    <s v="E"/>
    <s v="B1"/>
    <x v="8"/>
    <n v="40622"/>
  </r>
  <r>
    <s v="3126/2011"/>
    <x v="8"/>
    <s v="Payroll"/>
    <s v="Salaries"/>
    <n v="13000"/>
    <s v="E"/>
    <s v="B2"/>
    <x v="9"/>
    <s v="3126/2011"/>
  </r>
  <r>
    <n v="312612011"/>
    <x v="9"/>
    <s v="Debit Order"/>
    <s v="Capital repayment"/>
    <n v="220"/>
    <s v="E"/>
    <s v="B1"/>
    <x v="10"/>
    <s v="3126/2011"/>
  </r>
  <r>
    <n v="312612011"/>
    <x v="9"/>
    <s v="Debit Order"/>
    <s v="Interest paid"/>
    <n v="100"/>
    <s v="E"/>
    <s v="B1"/>
    <x v="11"/>
    <s v="3126/2011"/>
  </r>
  <r>
    <n v="312612011"/>
    <x v="10"/>
    <s v="Debit Order"/>
    <s v="Rent"/>
    <n v="6400"/>
    <s v="A"/>
    <s v="B1"/>
    <x v="12"/>
    <s v="3126/2011"/>
  </r>
  <r>
    <n v="313112011"/>
    <x v="8"/>
    <s v="Bank Statement"/>
    <s v="Petty Cash Reimbursement"/>
    <n v="100"/>
    <s v="E"/>
    <s v="B1"/>
    <x v="8"/>
    <n v="40633"/>
  </r>
  <r>
    <n v="313112011"/>
    <x v="8"/>
    <s v="Bank Statement"/>
    <s v="Petty Cash Reimbursement"/>
    <n v="-100"/>
    <s v="E"/>
    <s v="PC"/>
    <x v="8"/>
    <s v="3131/2011"/>
  </r>
  <r>
    <n v="41112011"/>
    <x v="1"/>
    <s v="Invoice EXP23"/>
    <s v="Internet Ser.ice Provider"/>
    <n v="179"/>
    <s v="A"/>
    <s v="B1"/>
    <x v="1"/>
    <s v="511/2011"/>
  </r>
  <r>
    <n v="41512011"/>
    <x v="3"/>
    <s v="Debit Order"/>
    <s v="Insurance"/>
    <n v="340"/>
    <s v="A"/>
    <s v="B1"/>
    <x v="3"/>
    <n v="40667"/>
  </r>
  <r>
    <n v="411212011"/>
    <x v="6"/>
    <s v="Cash"/>
    <s v="Flowers"/>
    <n v="87"/>
    <s v="A"/>
    <s v="PC"/>
    <x v="6"/>
    <n v="40881"/>
  </r>
  <r>
    <n v="411512011"/>
    <x v="4"/>
    <s v="Bank Statement"/>
    <s v="Sel'lice Fees"/>
    <n v="80"/>
    <s v="A"/>
    <s v="B1"/>
    <x v="4"/>
    <n v="40648"/>
  </r>
  <r>
    <n v="411512011"/>
    <x v="4"/>
    <s v="Bank Statement"/>
    <s v="Service Fees"/>
    <n v="35"/>
    <s v="A"/>
    <s v="B2"/>
    <x v="4"/>
    <n v="40648"/>
  </r>
  <r>
    <n v="411512011"/>
    <x v="11"/>
    <s v="Invoice"/>
    <s v="Bookkeeping"/>
    <n v="1000"/>
    <s v="A"/>
    <s v="B1"/>
    <x v="5"/>
    <s v="513/2011"/>
  </r>
  <r>
    <n v="412012011"/>
    <x v="8"/>
    <s v="Transfer"/>
    <s v="Inter Account Transfer"/>
    <n v="-20000"/>
    <s v="E"/>
    <s v="B2"/>
    <x v="8"/>
    <n v="40653"/>
  </r>
  <r>
    <n v="412012011"/>
    <x v="8"/>
    <s v="Transfer"/>
    <s v="Inter Account Transfer"/>
    <n v="20000"/>
    <s v="E"/>
    <s v="B1"/>
    <x v="8"/>
    <n v="40653"/>
  </r>
  <r>
    <n v="412512011"/>
    <x v="12"/>
    <s v="Return"/>
    <s v="Sales Tax"/>
    <n v="1300"/>
    <s v="E"/>
    <s v="B1"/>
    <x v="13"/>
    <s v="4125/2011"/>
  </r>
  <r>
    <n v="412612011"/>
    <x v="8"/>
    <s v="Payroll"/>
    <s v="Salaries"/>
    <n v="20000"/>
    <s v="E"/>
    <s v="B2"/>
    <x v="9"/>
    <s v="4126/2011"/>
  </r>
  <r>
    <n v="412612011"/>
    <x v="13"/>
    <s v="Invoice"/>
    <s v="Furniture"/>
    <n v="3000"/>
    <s v="A"/>
    <s v="B1"/>
    <x v="14"/>
    <s v="5126/2011"/>
  </r>
  <r>
    <n v="412612011"/>
    <x v="9"/>
    <s v="Debit Order"/>
    <s v="Capital repayment"/>
    <n v="220"/>
    <s v="E"/>
    <s v="B1"/>
    <x v="10"/>
    <s v="4126/2011"/>
  </r>
  <r>
    <n v="412612011"/>
    <x v="9"/>
    <s v="Debit Order"/>
    <s v="Interest paid"/>
    <n v="100"/>
    <s v="E"/>
    <s v="B1"/>
    <x v="11"/>
    <s v="4126/2011"/>
  </r>
  <r>
    <n v="412612011"/>
    <x v="10"/>
    <s v="Debit Order"/>
    <s v="Rent"/>
    <n v="6400"/>
    <s v="A"/>
    <s v="B1"/>
    <x v="12"/>
    <s v="4126/2011"/>
  </r>
  <r>
    <n v="412912011"/>
    <x v="14"/>
    <s v="IN1179"/>
    <s v="Consumables"/>
    <n v="41"/>
    <s v="A"/>
    <s v="PC"/>
    <x v="15"/>
    <s v="5129/2011"/>
  </r>
  <r>
    <n v="413012011"/>
    <x v="8"/>
    <s v="Bank Statement"/>
    <s v="Petty Cash Reimbursement"/>
    <n v="100"/>
    <s v="E"/>
    <s v="B1"/>
    <x v="8"/>
    <s v="4130/2011"/>
  </r>
  <r>
    <n v="413012011"/>
    <x v="8"/>
    <s v="Bank Statement"/>
    <s v="Petty Cash Reimbursement"/>
    <n v="-100"/>
    <s v="E"/>
    <s v="PC"/>
    <x v="8"/>
    <s v="4130/2011"/>
  </r>
  <r>
    <n v="51112011"/>
    <x v="1"/>
    <s v="Invoice EXP24"/>
    <s v="Internet Ser.ice Provider"/>
    <n v="179"/>
    <s v="A"/>
    <s v="B1"/>
    <x v="1"/>
    <s v="5131/2011"/>
  </r>
  <r>
    <n v="51112011"/>
    <x v="15"/>
    <s v="Invoice"/>
    <s v="Course"/>
    <n v="220"/>
    <s v="A"/>
    <s v="B1"/>
    <x v="16"/>
    <n v="40694"/>
  </r>
  <r>
    <n v="51512011"/>
    <x v="3"/>
    <s v="Debit Order"/>
    <s v="Insurance"/>
    <n v="340"/>
    <s v="A"/>
    <s v="B1"/>
    <x v="3"/>
    <s v="515120 11"/>
  </r>
  <r>
    <n v="51712011"/>
    <x v="16"/>
    <s v="S50037"/>
    <s v="Accommodation"/>
    <n v="563"/>
    <s v="A"/>
    <s v="B1"/>
    <x v="7"/>
    <s v="517/2011"/>
  </r>
  <r>
    <n v="51712011"/>
    <x v="17"/>
    <s v="Invoice"/>
    <s v="Stationery"/>
    <n v="982"/>
    <s v="A"/>
    <n v="81"/>
    <x v="17"/>
    <n v="40700"/>
  </r>
  <r>
    <n v="511512011"/>
    <x v="4"/>
    <s v="Bank Statement"/>
    <s v="Service Fees"/>
    <n v="80"/>
    <s v="A"/>
    <s v="B1"/>
    <x v="4"/>
    <s v="5115/2011"/>
  </r>
  <r>
    <n v="511512011"/>
    <x v="4"/>
    <s v="Bank Statement"/>
    <s v="Service Fees"/>
    <n v="35"/>
    <s v="A"/>
    <n v="62"/>
    <x v="4"/>
    <s v="5115/2011"/>
  </r>
  <r>
    <n v="511512011"/>
    <x v="5"/>
    <s v="Invoice"/>
    <s v="Bookkeeping"/>
    <n v="1000"/>
    <s v="A"/>
    <s v="B1"/>
    <x v="5"/>
    <s v="612120 11"/>
  </r>
  <r>
    <n v="512012011"/>
    <x v="18"/>
    <s v="Transfer"/>
    <s v="Inter Account Transfer"/>
    <n v="-20000"/>
    <s v="E"/>
    <s v="B2"/>
    <x v="8"/>
    <n v="40683"/>
  </r>
  <r>
    <n v="512012011"/>
    <x v="8"/>
    <s v="Transfer"/>
    <s v="Inter Account Transfer"/>
    <n v="20000"/>
    <s v="E"/>
    <s v="B1"/>
    <x v="8"/>
    <n v="40683"/>
  </r>
  <r>
    <n v="512612011"/>
    <x v="8"/>
    <s v="Payroll"/>
    <s v="Salaries"/>
    <n v="20000"/>
    <s v="E"/>
    <s v="B2"/>
    <x v="9"/>
    <s v="5126/2011"/>
  </r>
  <r>
    <s v="5126/2011"/>
    <x v="9"/>
    <s v="Debit Order"/>
    <s v="Capital repayment"/>
    <n v="220"/>
    <s v="E"/>
    <s v="B1"/>
    <x v="10"/>
    <s v="5126/2011"/>
  </r>
  <r>
    <n v="40689"/>
    <x v="9"/>
    <s v="Debit Order"/>
    <s v="Interest paid"/>
    <n v="100"/>
    <s v="E"/>
    <s v="B1"/>
    <x v="11"/>
    <n v="406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03024-2341-4FF8-8A46-E168D381A06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9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9">
        <item x="14"/>
        <item x="8"/>
        <item x="0"/>
        <item x="13"/>
        <item x="10"/>
        <item x="5"/>
        <item x="4"/>
        <item x="15"/>
        <item x="3"/>
        <item x="6"/>
        <item x="12"/>
        <item x="9"/>
        <item x="17"/>
        <item x="2"/>
        <item x="1"/>
        <item x="16"/>
        <item x="7"/>
        <item x="11"/>
        <item t="default"/>
      </items>
    </pivotField>
    <pivotField showAll="0"/>
  </pivotFields>
  <rowFields count="1">
    <field x="7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ax Inclusive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1001C-F92E-4EEC-BC8F-6D23BE3CC011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3" firstHeaderRow="1" firstDataRow="1" firstDataCol="1"/>
  <pivotFields count="9">
    <pivotField showAll="0"/>
    <pivotField axis="axisRow" showAll="0">
      <items count="20">
        <item x="4"/>
        <item x="16"/>
        <item x="3"/>
        <item x="18"/>
        <item x="8"/>
        <item x="13"/>
        <item x="14"/>
        <item x="9"/>
        <item x="5"/>
        <item x="11"/>
        <item x="12"/>
        <item x="1"/>
        <item x="6"/>
        <item x="2"/>
        <item x="10"/>
        <item x="7"/>
        <item x="0"/>
        <item x="15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D86C7-B822-4FFC-80F8-898D57BBCF7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N20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6D815-BAA1-4BEA-BE0F-3B1502332B1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6:M76" firstHeaderRow="1" firstDataRow="1" firstDataCol="1"/>
  <pivotFields count="9">
    <pivotField showAll="0"/>
    <pivotField axis="axisRow" showAll="0">
      <items count="20">
        <item x="0"/>
        <item x="4"/>
        <item x="16"/>
        <item x="3"/>
        <item x="18"/>
        <item x="8"/>
        <item x="13"/>
        <item x="14"/>
        <item x="9"/>
        <item x="5"/>
        <item x="11"/>
        <item x="12"/>
        <item x="1"/>
        <item x="6"/>
        <item x="2"/>
        <item x="10"/>
        <item x="7"/>
        <item x="15"/>
        <item x="17"/>
        <item t="default"/>
      </items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tax cod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7B5CBD-1D75-45ED-B3C6-3B78225833B0}" autoFormatId="16" applyNumberFormats="0" applyBorderFormats="0" applyFontFormats="0" applyPatternFormats="0" applyAlignmentFormats="0" applyWidthHeightFormats="0">
  <queryTableRefresh nextId="10">
    <queryTableFields count="9">
      <queryTableField id="1" name="Document Date" tableColumnId="1"/>
      <queryTableField id="2" name="Suoolier" tableColumnId="2"/>
      <queryTableField id="3" name="Reference" tableColumnId="3"/>
      <queryTableField id="4" name="Description" tableColumnId="4"/>
      <queryTableField id="5" name="Tax Inclusive Amount" tableColumnId="5"/>
      <queryTableField id="6" name="tax code" tableColumnId="6"/>
      <queryTableField id="7" name="Bank_x000a_Code" tableColumnId="7"/>
      <queryTableField id="8" name="Account_x000a_Code" tableColumnId="8"/>
      <queryTableField id="9" name="Payment 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0EEDEF-61EF-4937-8033-A1336F621502}" name="Table1_2" displayName="Table1_2" ref="A1:I48" tableType="queryTable" totalsRowShown="0">
  <autoFilter ref="A1:I48" xr:uid="{0D0EEDEF-61EF-4937-8033-A1336F621502}"/>
  <tableColumns count="9">
    <tableColumn id="1" xr3:uid="{91B3E06C-E8A2-4C7A-83CB-EC45F4167CDB}" uniqueName="1" name="Document Date" queryTableFieldId="1"/>
    <tableColumn id="2" xr3:uid="{73CA0F98-929F-46B5-AAC2-7C38BE7BD472}" uniqueName="2" name="Supplier" queryTableFieldId="2"/>
    <tableColumn id="3" xr3:uid="{31F635E9-1A4F-4D86-BB8C-AE6C0CC81093}" uniqueName="3" name="Reference" queryTableFieldId="3"/>
    <tableColumn id="4" xr3:uid="{69DAE915-915D-4349-BD44-22F74D5198A2}" uniqueName="4" name="Description" queryTableFieldId="4"/>
    <tableColumn id="5" xr3:uid="{76197813-1339-4C7A-8832-56D36C9B30C5}" uniqueName="5" name="Tax Inclusive Amount" queryTableFieldId="5"/>
    <tableColumn id="6" xr3:uid="{3A18A70F-40F9-4CD8-AA8F-C222D40A3A4F}" uniqueName="6" name="Tax code" queryTableFieldId="6"/>
    <tableColumn id="7" xr3:uid="{78A0F554-21FC-4AEA-988F-33F901DC4F74}" uniqueName="7" name="Bank_x000a_Code" queryTableFieldId="7"/>
    <tableColumn id="8" xr3:uid="{259A364A-BEA1-491C-8726-5600239415ED}" uniqueName="8" name="Account_x000a_Code" queryTableFieldId="8"/>
    <tableColumn id="9" xr3:uid="{14D4E3BB-B675-43FC-9C97-B33EB1257476}" uniqueName="9" name="Payment Dat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4CC46-FC21-43EE-8A3A-7621D9E9A21B}" name="Table1" displayName="Table1" ref="A1:I48" totalsRowShown="0" headerRowDxfId="0" headerRowBorderDxfId="9" tableBorderDxfId="10" totalsRowBorderDxfId="8">
  <autoFilter ref="A1:I48" xr:uid="{7A44CC46-FC21-43EE-8A3A-7621D9E9A21B}"/>
  <tableColumns count="9">
    <tableColumn id="1" xr3:uid="{5EE64335-F756-447C-BE5D-1109DAFE9CD2}" name="Document Date" dataDxfId="7"/>
    <tableColumn id="2" xr3:uid="{5414B698-FAA7-43D9-BFCF-6130D9724BDB}" name="Suoolier" dataDxfId="6"/>
    <tableColumn id="3" xr3:uid="{C28406D1-9B48-4142-BAE3-3DB349719DC3}" name="Reference" dataDxfId="5"/>
    <tableColumn id="4" xr3:uid="{51F87F1B-F39F-428E-81B7-A58064A69D63}" name="Description" dataDxfId="4"/>
    <tableColumn id="5" xr3:uid="{221725A6-30CA-4E9D-AA79-40354AF55633}" name="Tax Inclusive Amount"/>
    <tableColumn id="6" xr3:uid="{8C94B0F0-623D-4021-BFCE-DD053B72F377}" name="tax code" dataDxfId="3"/>
    <tableColumn id="7" xr3:uid="{6DD861E4-B9ED-48D7-8335-C0F182500CBE}" name="Bank_x000a_Code" dataDxfId="2"/>
    <tableColumn id="8" xr3:uid="{D8AB472E-C5CF-4026-8C53-D2AC2D3F1D97}" name="Account_x000a_Code" dataDxfId="1"/>
    <tableColumn id="9" xr3:uid="{225B199E-ABB5-4F6F-8600-840BC91D958C}" name="Payment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B2F7-B29C-4382-823D-1A584C04195B}">
  <dimension ref="A3:B22"/>
  <sheetViews>
    <sheetView workbookViewId="0">
      <selection activeCell="C33" sqref="C33"/>
    </sheetView>
  </sheetViews>
  <sheetFormatPr defaultRowHeight="13.2" x14ac:dyDescent="0.25"/>
  <cols>
    <col min="1" max="1" width="12.88671875" bestFit="1" customWidth="1"/>
    <col min="2" max="2" width="25" bestFit="1" customWidth="1"/>
  </cols>
  <sheetData>
    <row r="3" spans="1:2" x14ac:dyDescent="0.25">
      <c r="A3" s="1" t="s">
        <v>7</v>
      </c>
      <c r="B3" t="s">
        <v>113</v>
      </c>
    </row>
    <row r="4" spans="1:2" x14ac:dyDescent="0.25">
      <c r="A4" t="s">
        <v>90</v>
      </c>
      <c r="B4" s="18">
        <v>3000</v>
      </c>
    </row>
    <row r="5" spans="1:2" x14ac:dyDescent="0.25">
      <c r="A5" t="s">
        <v>68</v>
      </c>
      <c r="B5" s="18">
        <v>0</v>
      </c>
    </row>
    <row r="6" spans="1:2" x14ac:dyDescent="0.25">
      <c r="A6" t="s">
        <v>39</v>
      </c>
      <c r="B6" s="18">
        <v>5100</v>
      </c>
    </row>
    <row r="7" spans="1:2" x14ac:dyDescent="0.25">
      <c r="A7" t="s">
        <v>85</v>
      </c>
      <c r="B7" s="18">
        <v>1300</v>
      </c>
    </row>
    <row r="8" spans="1:2" x14ac:dyDescent="0.25">
      <c r="A8" t="s">
        <v>74</v>
      </c>
      <c r="B8" s="18">
        <v>660</v>
      </c>
    </row>
    <row r="9" spans="1:2" x14ac:dyDescent="0.25">
      <c r="A9" t="s">
        <v>55</v>
      </c>
      <c r="B9" s="18">
        <v>3000</v>
      </c>
    </row>
    <row r="10" spans="1:2" x14ac:dyDescent="0.25">
      <c r="A10" t="s">
        <v>50</v>
      </c>
      <c r="B10" s="18">
        <v>315</v>
      </c>
    </row>
    <row r="11" spans="1:2" x14ac:dyDescent="0.25">
      <c r="A11" t="s">
        <v>94</v>
      </c>
      <c r="B11" s="18">
        <v>41</v>
      </c>
    </row>
    <row r="12" spans="1:2" x14ac:dyDescent="0.25">
      <c r="A12" t="s">
        <v>47</v>
      </c>
      <c r="B12" s="18">
        <v>1020</v>
      </c>
    </row>
    <row r="13" spans="1:2" x14ac:dyDescent="0.25">
      <c r="A13" t="s">
        <v>60</v>
      </c>
      <c r="B13" s="18">
        <v>177</v>
      </c>
    </row>
    <row r="14" spans="1:2" x14ac:dyDescent="0.25">
      <c r="A14" t="s">
        <v>76</v>
      </c>
      <c r="B14" s="18">
        <v>12800</v>
      </c>
    </row>
    <row r="15" spans="1:2" x14ac:dyDescent="0.25">
      <c r="A15" t="s">
        <v>72</v>
      </c>
      <c r="B15" s="18">
        <v>53000</v>
      </c>
    </row>
    <row r="16" spans="1:2" x14ac:dyDescent="0.25">
      <c r="A16" t="s">
        <v>106</v>
      </c>
      <c r="B16" s="18">
        <v>982</v>
      </c>
    </row>
    <row r="17" spans="1:2" x14ac:dyDescent="0.25">
      <c r="A17" t="s">
        <v>45</v>
      </c>
      <c r="B17" s="18">
        <v>478</v>
      </c>
    </row>
    <row r="18" spans="1:2" x14ac:dyDescent="0.25">
      <c r="A18" t="s">
        <v>43</v>
      </c>
      <c r="B18" s="18">
        <v>537</v>
      </c>
    </row>
    <row r="19" spans="1:2" x14ac:dyDescent="0.25">
      <c r="A19" t="s">
        <v>100</v>
      </c>
      <c r="B19" s="18">
        <v>220</v>
      </c>
    </row>
    <row r="20" spans="1:2" x14ac:dyDescent="0.25">
      <c r="A20" t="s">
        <v>64</v>
      </c>
      <c r="B20" s="18">
        <v>763</v>
      </c>
    </row>
    <row r="21" spans="1:2" x14ac:dyDescent="0.25">
      <c r="A21" t="s">
        <v>5</v>
      </c>
      <c r="B21" s="18">
        <v>300</v>
      </c>
    </row>
    <row r="22" spans="1:2" x14ac:dyDescent="0.25">
      <c r="A22" t="s">
        <v>26</v>
      </c>
      <c r="B22" s="18">
        <v>83693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5AE4-2684-4A31-B8E8-8CE41A85EF0B}">
  <dimension ref="A3:A23"/>
  <sheetViews>
    <sheetView tabSelected="1" workbookViewId="0">
      <selection activeCell="D24" sqref="D24"/>
    </sheetView>
  </sheetViews>
  <sheetFormatPr defaultRowHeight="13.2" x14ac:dyDescent="0.25"/>
  <cols>
    <col min="1" max="1" width="16" bestFit="1" customWidth="1"/>
  </cols>
  <sheetData>
    <row r="3" spans="1:1" x14ac:dyDescent="0.25">
      <c r="A3" s="1" t="s">
        <v>7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0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29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8E0C-66E4-465C-8EF5-77791D0200D3}">
  <dimension ref="A1:I48"/>
  <sheetViews>
    <sheetView topLeftCell="A2" zoomScale="99" workbookViewId="0">
      <selection activeCell="B7" sqref="B7"/>
    </sheetView>
  </sheetViews>
  <sheetFormatPr defaultRowHeight="13.2" x14ac:dyDescent="0.25"/>
  <cols>
    <col min="1" max="1" width="15.88671875" bestFit="1" customWidth="1"/>
    <col min="2" max="2" width="16" bestFit="1" customWidth="1"/>
    <col min="3" max="3" width="12.77734375" bestFit="1" customWidth="1"/>
    <col min="4" max="4" width="21.88671875" bestFit="1" customWidth="1"/>
    <col min="5" max="5" width="21.109375" bestFit="1" customWidth="1"/>
    <col min="6" max="6" width="9.88671875" bestFit="1" customWidth="1"/>
    <col min="7" max="7" width="13.109375" bestFit="1" customWidth="1"/>
    <col min="8" max="8" width="15.6640625" bestFit="1" customWidth="1"/>
    <col min="9" max="9" width="14.5546875" bestFit="1" customWidth="1"/>
  </cols>
  <sheetData>
    <row r="1" spans="1:9" x14ac:dyDescent="0.25">
      <c r="A1" t="s">
        <v>28</v>
      </c>
      <c r="B1" s="36" t="s">
        <v>114</v>
      </c>
      <c r="C1" t="s">
        <v>31</v>
      </c>
      <c r="D1" t="s">
        <v>32</v>
      </c>
      <c r="E1" t="s">
        <v>33</v>
      </c>
      <c r="F1" s="36" t="s">
        <v>112</v>
      </c>
      <c r="G1" t="s">
        <v>109</v>
      </c>
      <c r="H1" t="s">
        <v>110</v>
      </c>
      <c r="I1" t="s">
        <v>34</v>
      </c>
    </row>
    <row r="2" spans="1:9" x14ac:dyDescent="0.25">
      <c r="A2">
        <v>40588</v>
      </c>
      <c r="B2" t="s">
        <v>29</v>
      </c>
      <c r="C2" t="s">
        <v>35</v>
      </c>
      <c r="D2" t="s">
        <v>36</v>
      </c>
      <c r="E2">
        <v>5100</v>
      </c>
      <c r="F2" t="s">
        <v>38</v>
      </c>
      <c r="G2" t="s">
        <v>4</v>
      </c>
      <c r="H2" t="s">
        <v>39</v>
      </c>
      <c r="I2" t="s">
        <v>40</v>
      </c>
    </row>
    <row r="3" spans="1:9" x14ac:dyDescent="0.25">
      <c r="A3">
        <v>31112011</v>
      </c>
      <c r="B3" t="s">
        <v>19</v>
      </c>
      <c r="C3" t="s">
        <v>41</v>
      </c>
      <c r="D3" t="s">
        <v>42</v>
      </c>
      <c r="E3">
        <v>179</v>
      </c>
      <c r="F3" t="s">
        <v>38</v>
      </c>
      <c r="G3" t="s">
        <v>4</v>
      </c>
      <c r="H3" t="s">
        <v>43</v>
      </c>
      <c r="I3">
        <v>40633</v>
      </c>
    </row>
    <row r="4" spans="1:9" x14ac:dyDescent="0.25">
      <c r="A4">
        <v>31212011</v>
      </c>
      <c r="B4" t="s">
        <v>21</v>
      </c>
      <c r="C4">
        <v>1381119</v>
      </c>
      <c r="D4" t="s">
        <v>44</v>
      </c>
      <c r="E4">
        <v>478</v>
      </c>
      <c r="F4" t="s">
        <v>38</v>
      </c>
      <c r="G4" t="s">
        <v>4</v>
      </c>
      <c r="H4" t="s">
        <v>45</v>
      </c>
      <c r="I4">
        <v>40547</v>
      </c>
    </row>
    <row r="5" spans="1:9" x14ac:dyDescent="0.25">
      <c r="A5">
        <v>31512011</v>
      </c>
      <c r="B5" t="s">
        <v>11</v>
      </c>
      <c r="C5" t="s">
        <v>1</v>
      </c>
      <c r="D5" t="s">
        <v>46</v>
      </c>
      <c r="E5">
        <v>340</v>
      </c>
      <c r="F5" t="s">
        <v>38</v>
      </c>
      <c r="G5" t="s">
        <v>4</v>
      </c>
      <c r="H5" t="s">
        <v>47</v>
      </c>
      <c r="I5">
        <v>31512011</v>
      </c>
    </row>
    <row r="6" spans="1:9" x14ac:dyDescent="0.25">
      <c r="A6">
        <v>311512011</v>
      </c>
      <c r="B6" t="s">
        <v>9</v>
      </c>
      <c r="C6" t="s">
        <v>48</v>
      </c>
      <c r="D6" t="s">
        <v>49</v>
      </c>
      <c r="E6">
        <v>50</v>
      </c>
      <c r="F6" t="s">
        <v>38</v>
      </c>
      <c r="G6" t="s">
        <v>4</v>
      </c>
      <c r="H6" t="s">
        <v>50</v>
      </c>
      <c r="I6">
        <v>40617</v>
      </c>
    </row>
    <row r="7" spans="1:9" x14ac:dyDescent="0.25">
      <c r="A7">
        <v>311512011</v>
      </c>
      <c r="B7" t="s">
        <v>9</v>
      </c>
      <c r="C7" t="s">
        <v>48</v>
      </c>
      <c r="D7" t="s">
        <v>51</v>
      </c>
      <c r="E7">
        <v>35</v>
      </c>
      <c r="F7" t="s">
        <v>38</v>
      </c>
      <c r="G7" t="s">
        <v>52</v>
      </c>
      <c r="H7" t="s">
        <v>50</v>
      </c>
      <c r="I7">
        <v>40617</v>
      </c>
    </row>
    <row r="8" spans="1:9" x14ac:dyDescent="0.25">
      <c r="A8">
        <v>311512011</v>
      </c>
      <c r="B8" t="s">
        <v>16</v>
      </c>
      <c r="C8" t="s">
        <v>53</v>
      </c>
      <c r="D8" t="s">
        <v>54</v>
      </c>
      <c r="E8">
        <v>1000</v>
      </c>
      <c r="F8" t="s">
        <v>38</v>
      </c>
      <c r="G8" t="s">
        <v>4</v>
      </c>
      <c r="H8" t="s">
        <v>55</v>
      </c>
      <c r="I8" t="s">
        <v>56</v>
      </c>
    </row>
    <row r="9" spans="1:9" x14ac:dyDescent="0.25">
      <c r="A9">
        <v>311512011</v>
      </c>
      <c r="B9" t="s">
        <v>20</v>
      </c>
      <c r="C9" t="s">
        <v>57</v>
      </c>
      <c r="D9" t="s">
        <v>58</v>
      </c>
      <c r="E9">
        <v>90</v>
      </c>
      <c r="F9" t="s">
        <v>38</v>
      </c>
      <c r="G9" t="s">
        <v>59</v>
      </c>
      <c r="H9" t="s">
        <v>60</v>
      </c>
      <c r="I9">
        <v>40617</v>
      </c>
    </row>
    <row r="10" spans="1:9" x14ac:dyDescent="0.25">
      <c r="A10" t="s">
        <v>61</v>
      </c>
      <c r="B10" t="s">
        <v>23</v>
      </c>
      <c r="C10" t="s">
        <v>62</v>
      </c>
      <c r="D10" t="s">
        <v>63</v>
      </c>
      <c r="E10">
        <v>200</v>
      </c>
      <c r="F10" t="s">
        <v>38</v>
      </c>
      <c r="G10" t="s">
        <v>4</v>
      </c>
      <c r="H10" t="s">
        <v>64</v>
      </c>
      <c r="I10">
        <v>40620</v>
      </c>
    </row>
    <row r="11" spans="1:9" x14ac:dyDescent="0.25">
      <c r="A11" t="s">
        <v>65</v>
      </c>
      <c r="B11" t="s">
        <v>13</v>
      </c>
      <c r="C11" t="s">
        <v>66</v>
      </c>
      <c r="D11" t="s">
        <v>67</v>
      </c>
      <c r="E11">
        <v>-15000</v>
      </c>
      <c r="F11" t="s">
        <v>3</v>
      </c>
      <c r="G11" t="s">
        <v>52</v>
      </c>
      <c r="H11" t="s">
        <v>68</v>
      </c>
      <c r="I11">
        <v>40622</v>
      </c>
    </row>
    <row r="12" spans="1:9" x14ac:dyDescent="0.25">
      <c r="A12">
        <v>312012011</v>
      </c>
      <c r="B12" t="s">
        <v>13</v>
      </c>
      <c r="C12" t="s">
        <v>66</v>
      </c>
      <c r="D12" t="s">
        <v>67</v>
      </c>
      <c r="E12">
        <v>15000</v>
      </c>
      <c r="F12" t="s">
        <v>3</v>
      </c>
      <c r="G12" t="s">
        <v>4</v>
      </c>
      <c r="H12" t="s">
        <v>68</v>
      </c>
      <c r="I12">
        <v>40622</v>
      </c>
    </row>
    <row r="13" spans="1:9" x14ac:dyDescent="0.25">
      <c r="A13" t="s">
        <v>69</v>
      </c>
      <c r="B13" t="s">
        <v>13</v>
      </c>
      <c r="C13" t="s">
        <v>70</v>
      </c>
      <c r="D13" t="s">
        <v>71</v>
      </c>
      <c r="E13">
        <v>13000</v>
      </c>
      <c r="F13" t="s">
        <v>3</v>
      </c>
      <c r="G13" t="s">
        <v>52</v>
      </c>
      <c r="H13" t="s">
        <v>72</v>
      </c>
      <c r="I13" t="s">
        <v>69</v>
      </c>
    </row>
    <row r="14" spans="1:9" x14ac:dyDescent="0.25">
      <c r="A14">
        <v>312612011</v>
      </c>
      <c r="B14" t="s">
        <v>0</v>
      </c>
      <c r="C14" t="s">
        <v>1</v>
      </c>
      <c r="D14" t="s">
        <v>73</v>
      </c>
      <c r="E14">
        <v>220</v>
      </c>
      <c r="F14" t="s">
        <v>3</v>
      </c>
      <c r="G14" t="s">
        <v>4</v>
      </c>
      <c r="H14" t="s">
        <v>74</v>
      </c>
      <c r="I14" t="s">
        <v>69</v>
      </c>
    </row>
    <row r="15" spans="1:9" x14ac:dyDescent="0.25">
      <c r="A15">
        <v>312612011</v>
      </c>
      <c r="B15" t="s">
        <v>0</v>
      </c>
      <c r="C15" t="s">
        <v>1</v>
      </c>
      <c r="D15" t="s">
        <v>2</v>
      </c>
      <c r="E15">
        <v>100</v>
      </c>
      <c r="F15" t="s">
        <v>3</v>
      </c>
      <c r="G15" t="s">
        <v>4</v>
      </c>
      <c r="H15" t="s">
        <v>5</v>
      </c>
      <c r="I15" t="s">
        <v>69</v>
      </c>
    </row>
    <row r="16" spans="1:9" x14ac:dyDescent="0.25">
      <c r="A16">
        <v>312612011</v>
      </c>
      <c r="B16" t="s">
        <v>22</v>
      </c>
      <c r="C16" t="s">
        <v>1</v>
      </c>
      <c r="D16" t="s">
        <v>75</v>
      </c>
      <c r="E16">
        <v>6400</v>
      </c>
      <c r="F16" t="s">
        <v>38</v>
      </c>
      <c r="G16" t="s">
        <v>4</v>
      </c>
      <c r="H16" t="s">
        <v>76</v>
      </c>
      <c r="I16" t="s">
        <v>69</v>
      </c>
    </row>
    <row r="17" spans="1:9" x14ac:dyDescent="0.25">
      <c r="A17">
        <v>313112011</v>
      </c>
      <c r="B17" t="s">
        <v>111</v>
      </c>
      <c r="C17" t="s">
        <v>48</v>
      </c>
      <c r="D17" t="s">
        <v>77</v>
      </c>
      <c r="E17">
        <v>100</v>
      </c>
      <c r="F17" t="s">
        <v>3</v>
      </c>
      <c r="G17" t="s">
        <v>4</v>
      </c>
      <c r="H17" t="s">
        <v>68</v>
      </c>
      <c r="I17">
        <v>40633</v>
      </c>
    </row>
    <row r="18" spans="1:9" x14ac:dyDescent="0.25">
      <c r="A18">
        <v>313112011</v>
      </c>
      <c r="B18" t="s">
        <v>13</v>
      </c>
      <c r="C18" t="s">
        <v>48</v>
      </c>
      <c r="D18" t="s">
        <v>77</v>
      </c>
      <c r="E18">
        <v>-100</v>
      </c>
      <c r="F18" t="s">
        <v>3</v>
      </c>
      <c r="G18" t="s">
        <v>59</v>
      </c>
      <c r="H18" t="s">
        <v>68</v>
      </c>
      <c r="I18" t="s">
        <v>78</v>
      </c>
    </row>
    <row r="19" spans="1:9" x14ac:dyDescent="0.25">
      <c r="A19">
        <v>41112011</v>
      </c>
      <c r="B19" t="s">
        <v>19</v>
      </c>
      <c r="C19" t="s">
        <v>79</v>
      </c>
      <c r="D19" t="s">
        <v>42</v>
      </c>
      <c r="E19">
        <v>179</v>
      </c>
      <c r="F19" t="s">
        <v>38</v>
      </c>
      <c r="G19" t="s">
        <v>4</v>
      </c>
      <c r="H19" t="s">
        <v>43</v>
      </c>
      <c r="I19" t="s">
        <v>80</v>
      </c>
    </row>
    <row r="20" spans="1:9" x14ac:dyDescent="0.25">
      <c r="A20">
        <v>41512011</v>
      </c>
      <c r="B20" t="s">
        <v>11</v>
      </c>
      <c r="C20" t="s">
        <v>1</v>
      </c>
      <c r="D20" t="s">
        <v>46</v>
      </c>
      <c r="E20">
        <v>340</v>
      </c>
      <c r="F20" t="s">
        <v>38</v>
      </c>
      <c r="G20" t="s">
        <v>4</v>
      </c>
      <c r="H20" t="s">
        <v>47</v>
      </c>
      <c r="I20">
        <v>40667</v>
      </c>
    </row>
    <row r="21" spans="1:9" x14ac:dyDescent="0.25">
      <c r="A21">
        <v>411212011</v>
      </c>
      <c r="B21" t="s">
        <v>20</v>
      </c>
      <c r="C21" t="s">
        <v>57</v>
      </c>
      <c r="D21" t="s">
        <v>58</v>
      </c>
      <c r="E21">
        <v>87</v>
      </c>
      <c r="F21" t="s">
        <v>38</v>
      </c>
      <c r="G21" t="s">
        <v>59</v>
      </c>
      <c r="H21" t="s">
        <v>60</v>
      </c>
      <c r="I21">
        <v>40881</v>
      </c>
    </row>
    <row r="22" spans="1:9" x14ac:dyDescent="0.25">
      <c r="A22">
        <v>411512011</v>
      </c>
      <c r="B22" t="s">
        <v>9</v>
      </c>
      <c r="C22" t="s">
        <v>48</v>
      </c>
      <c r="D22" t="s">
        <v>49</v>
      </c>
      <c r="E22">
        <v>80</v>
      </c>
      <c r="F22" t="s">
        <v>38</v>
      </c>
      <c r="G22" t="s">
        <v>4</v>
      </c>
      <c r="H22" t="s">
        <v>50</v>
      </c>
      <c r="I22">
        <v>40648</v>
      </c>
    </row>
    <row r="23" spans="1:9" x14ac:dyDescent="0.25">
      <c r="A23">
        <v>411512011</v>
      </c>
      <c r="B23" t="s">
        <v>9</v>
      </c>
      <c r="C23" t="s">
        <v>48</v>
      </c>
      <c r="D23" t="s">
        <v>51</v>
      </c>
      <c r="E23">
        <v>35</v>
      </c>
      <c r="F23" t="s">
        <v>38</v>
      </c>
      <c r="G23" t="s">
        <v>52</v>
      </c>
      <c r="H23" t="s">
        <v>50</v>
      </c>
      <c r="I23">
        <v>40648</v>
      </c>
    </row>
    <row r="24" spans="1:9" x14ac:dyDescent="0.25">
      <c r="A24">
        <v>411512011</v>
      </c>
      <c r="B24" t="s">
        <v>17</v>
      </c>
      <c r="C24" t="s">
        <v>53</v>
      </c>
      <c r="D24" t="s">
        <v>54</v>
      </c>
      <c r="E24">
        <v>1000</v>
      </c>
      <c r="F24" t="s">
        <v>38</v>
      </c>
      <c r="G24" t="s">
        <v>4</v>
      </c>
      <c r="H24" t="s">
        <v>55</v>
      </c>
      <c r="I24" t="s">
        <v>81</v>
      </c>
    </row>
    <row r="25" spans="1:9" x14ac:dyDescent="0.25">
      <c r="A25">
        <v>412012011</v>
      </c>
      <c r="B25" t="s">
        <v>13</v>
      </c>
      <c r="C25" t="s">
        <v>66</v>
      </c>
      <c r="D25" t="s">
        <v>67</v>
      </c>
      <c r="E25">
        <v>-20000</v>
      </c>
      <c r="F25" t="s">
        <v>3</v>
      </c>
      <c r="G25" t="s">
        <v>52</v>
      </c>
      <c r="H25" t="s">
        <v>68</v>
      </c>
      <c r="I25">
        <v>40653</v>
      </c>
    </row>
    <row r="26" spans="1:9" x14ac:dyDescent="0.25">
      <c r="A26">
        <v>412012011</v>
      </c>
      <c r="B26" t="s">
        <v>13</v>
      </c>
      <c r="C26" t="s">
        <v>66</v>
      </c>
      <c r="D26" t="s">
        <v>67</v>
      </c>
      <c r="E26">
        <v>20000</v>
      </c>
      <c r="F26" t="s">
        <v>3</v>
      </c>
      <c r="G26" t="s">
        <v>4</v>
      </c>
      <c r="H26" t="s">
        <v>68</v>
      </c>
      <c r="I26">
        <v>40653</v>
      </c>
    </row>
    <row r="27" spans="1:9" x14ac:dyDescent="0.25">
      <c r="A27">
        <v>412512011</v>
      </c>
      <c r="B27" t="s">
        <v>18</v>
      </c>
      <c r="C27" t="s">
        <v>83</v>
      </c>
      <c r="D27" t="s">
        <v>84</v>
      </c>
      <c r="E27">
        <v>1300</v>
      </c>
      <c r="F27" t="s">
        <v>3</v>
      </c>
      <c r="G27" t="s">
        <v>4</v>
      </c>
      <c r="H27" t="s">
        <v>85</v>
      </c>
      <c r="I27" t="s">
        <v>86</v>
      </c>
    </row>
    <row r="28" spans="1:9" x14ac:dyDescent="0.25">
      <c r="A28">
        <v>412612011</v>
      </c>
      <c r="B28" t="s">
        <v>13</v>
      </c>
      <c r="C28" t="s">
        <v>70</v>
      </c>
      <c r="D28" t="s">
        <v>71</v>
      </c>
      <c r="E28">
        <v>20000</v>
      </c>
      <c r="F28" t="s">
        <v>3</v>
      </c>
      <c r="G28" t="s">
        <v>52</v>
      </c>
      <c r="H28" t="s">
        <v>72</v>
      </c>
      <c r="I28" t="s">
        <v>88</v>
      </c>
    </row>
    <row r="29" spans="1:9" x14ac:dyDescent="0.25">
      <c r="A29">
        <v>412612011</v>
      </c>
      <c r="B29" t="s">
        <v>14</v>
      </c>
      <c r="C29" t="s">
        <v>53</v>
      </c>
      <c r="D29" t="s">
        <v>89</v>
      </c>
      <c r="E29">
        <v>3000</v>
      </c>
      <c r="F29" t="s">
        <v>38</v>
      </c>
      <c r="G29" t="s">
        <v>4</v>
      </c>
      <c r="H29" t="s">
        <v>90</v>
      </c>
      <c r="I29" t="s">
        <v>91</v>
      </c>
    </row>
    <row r="30" spans="1:9" x14ac:dyDescent="0.25">
      <c r="A30">
        <v>412612011</v>
      </c>
      <c r="B30" t="s">
        <v>0</v>
      </c>
      <c r="C30" t="s">
        <v>1</v>
      </c>
      <c r="D30" t="s">
        <v>73</v>
      </c>
      <c r="E30">
        <v>220</v>
      </c>
      <c r="F30" t="s">
        <v>3</v>
      </c>
      <c r="G30" t="s">
        <v>4</v>
      </c>
      <c r="H30" t="s">
        <v>74</v>
      </c>
      <c r="I30" t="s">
        <v>88</v>
      </c>
    </row>
    <row r="31" spans="1:9" x14ac:dyDescent="0.25">
      <c r="A31">
        <v>412612011</v>
      </c>
      <c r="B31" t="s">
        <v>0</v>
      </c>
      <c r="C31" t="s">
        <v>1</v>
      </c>
      <c r="D31" t="s">
        <v>2</v>
      </c>
      <c r="E31">
        <v>100</v>
      </c>
      <c r="F31" t="s">
        <v>3</v>
      </c>
      <c r="G31" t="s">
        <v>4</v>
      </c>
      <c r="H31" t="s">
        <v>5</v>
      </c>
      <c r="I31" t="s">
        <v>88</v>
      </c>
    </row>
    <row r="32" spans="1:9" x14ac:dyDescent="0.25">
      <c r="A32">
        <v>412612011</v>
      </c>
      <c r="B32" t="s">
        <v>22</v>
      </c>
      <c r="C32" t="s">
        <v>1</v>
      </c>
      <c r="D32" t="s">
        <v>75</v>
      </c>
      <c r="E32">
        <v>6400</v>
      </c>
      <c r="F32" t="s">
        <v>38</v>
      </c>
      <c r="G32" t="s">
        <v>4</v>
      </c>
      <c r="H32" t="s">
        <v>76</v>
      </c>
      <c r="I32" t="s">
        <v>88</v>
      </c>
    </row>
    <row r="33" spans="1:9" x14ac:dyDescent="0.25">
      <c r="A33">
        <v>412912011</v>
      </c>
      <c r="B33" t="s">
        <v>15</v>
      </c>
      <c r="C33" t="s">
        <v>92</v>
      </c>
      <c r="D33" t="s">
        <v>93</v>
      </c>
      <c r="E33">
        <v>41</v>
      </c>
      <c r="F33" t="s">
        <v>38</v>
      </c>
      <c r="G33" t="s">
        <v>59</v>
      </c>
      <c r="H33" t="s">
        <v>94</v>
      </c>
      <c r="I33" t="s">
        <v>95</v>
      </c>
    </row>
    <row r="34" spans="1:9" x14ac:dyDescent="0.25">
      <c r="A34">
        <v>413012011</v>
      </c>
      <c r="B34" t="s">
        <v>111</v>
      </c>
      <c r="C34" t="s">
        <v>48</v>
      </c>
      <c r="D34" t="s">
        <v>77</v>
      </c>
      <c r="E34">
        <v>100</v>
      </c>
      <c r="F34" t="s">
        <v>3</v>
      </c>
      <c r="G34" t="s">
        <v>4</v>
      </c>
      <c r="H34" t="s">
        <v>68</v>
      </c>
      <c r="I34" t="s">
        <v>96</v>
      </c>
    </row>
    <row r="35" spans="1:9" x14ac:dyDescent="0.25">
      <c r="A35">
        <v>413012011</v>
      </c>
      <c r="B35" t="s">
        <v>13</v>
      </c>
      <c r="C35" t="s">
        <v>48</v>
      </c>
      <c r="D35" t="s">
        <v>77</v>
      </c>
      <c r="E35">
        <v>-100</v>
      </c>
      <c r="F35" t="s">
        <v>3</v>
      </c>
      <c r="G35" t="s">
        <v>59</v>
      </c>
      <c r="H35" t="s">
        <v>68</v>
      </c>
      <c r="I35" t="s">
        <v>96</v>
      </c>
    </row>
    <row r="36" spans="1:9" x14ac:dyDescent="0.25">
      <c r="A36">
        <v>51112011</v>
      </c>
      <c r="B36" t="s">
        <v>19</v>
      </c>
      <c r="C36" t="s">
        <v>97</v>
      </c>
      <c r="D36" t="s">
        <v>42</v>
      </c>
      <c r="E36">
        <v>179</v>
      </c>
      <c r="F36" t="s">
        <v>38</v>
      </c>
      <c r="G36" t="s">
        <v>4</v>
      </c>
      <c r="H36" t="s">
        <v>43</v>
      </c>
      <c r="I36" t="s">
        <v>98</v>
      </c>
    </row>
    <row r="37" spans="1:9" x14ac:dyDescent="0.25">
      <c r="A37">
        <v>51112011</v>
      </c>
      <c r="B37" t="s">
        <v>24</v>
      </c>
      <c r="C37" t="s">
        <v>53</v>
      </c>
      <c r="D37" t="s">
        <v>99</v>
      </c>
      <c r="E37">
        <v>220</v>
      </c>
      <c r="F37" t="s">
        <v>38</v>
      </c>
      <c r="G37" t="s">
        <v>4</v>
      </c>
      <c r="H37" t="s">
        <v>100</v>
      </c>
      <c r="I37">
        <v>40694</v>
      </c>
    </row>
    <row r="38" spans="1:9" x14ac:dyDescent="0.25">
      <c r="A38">
        <v>51512011</v>
      </c>
      <c r="B38" t="s">
        <v>11</v>
      </c>
      <c r="C38" t="s">
        <v>1</v>
      </c>
      <c r="D38" t="s">
        <v>46</v>
      </c>
      <c r="E38">
        <v>340</v>
      </c>
      <c r="F38" t="s">
        <v>38</v>
      </c>
      <c r="G38" t="s">
        <v>4</v>
      </c>
      <c r="H38" t="s">
        <v>47</v>
      </c>
      <c r="I38" t="s">
        <v>101</v>
      </c>
    </row>
    <row r="39" spans="1:9" x14ac:dyDescent="0.25">
      <c r="A39">
        <v>51712011</v>
      </c>
      <c r="B39" t="s">
        <v>10</v>
      </c>
      <c r="C39" t="s">
        <v>102</v>
      </c>
      <c r="D39" t="s">
        <v>103</v>
      </c>
      <c r="E39">
        <v>563</v>
      </c>
      <c r="F39" t="s">
        <v>38</v>
      </c>
      <c r="G39" t="s">
        <v>4</v>
      </c>
      <c r="H39" t="s">
        <v>64</v>
      </c>
      <c r="I39" t="s">
        <v>104</v>
      </c>
    </row>
    <row r="40" spans="1:9" x14ac:dyDescent="0.25">
      <c r="A40">
        <v>51712011</v>
      </c>
      <c r="B40" t="s">
        <v>25</v>
      </c>
      <c r="C40" t="s">
        <v>53</v>
      </c>
      <c r="D40" t="s">
        <v>105</v>
      </c>
      <c r="E40">
        <v>982</v>
      </c>
      <c r="F40" t="s">
        <v>38</v>
      </c>
      <c r="G40">
        <v>81</v>
      </c>
      <c r="H40" t="s">
        <v>106</v>
      </c>
      <c r="I40">
        <v>40700</v>
      </c>
    </row>
    <row r="41" spans="1:9" x14ac:dyDescent="0.25">
      <c r="A41">
        <v>511512011</v>
      </c>
      <c r="B41" t="s">
        <v>9</v>
      </c>
      <c r="C41" t="s">
        <v>48</v>
      </c>
      <c r="D41" t="s">
        <v>51</v>
      </c>
      <c r="E41">
        <v>80</v>
      </c>
      <c r="F41" t="s">
        <v>38</v>
      </c>
      <c r="G41" t="s">
        <v>4</v>
      </c>
      <c r="H41" t="s">
        <v>50</v>
      </c>
      <c r="I41" t="s">
        <v>107</v>
      </c>
    </row>
    <row r="42" spans="1:9" x14ac:dyDescent="0.25">
      <c r="A42">
        <v>511512011</v>
      </c>
      <c r="B42" t="s">
        <v>9</v>
      </c>
      <c r="C42" t="s">
        <v>48</v>
      </c>
      <c r="D42" t="s">
        <v>51</v>
      </c>
      <c r="E42">
        <v>35</v>
      </c>
      <c r="F42" t="s">
        <v>38</v>
      </c>
      <c r="G42">
        <v>62</v>
      </c>
      <c r="H42" t="s">
        <v>50</v>
      </c>
      <c r="I42" t="s">
        <v>107</v>
      </c>
    </row>
    <row r="43" spans="1:9" x14ac:dyDescent="0.25">
      <c r="A43">
        <v>511512011</v>
      </c>
      <c r="B43" t="s">
        <v>16</v>
      </c>
      <c r="C43" t="s">
        <v>53</v>
      </c>
      <c r="D43" t="s">
        <v>54</v>
      </c>
      <c r="E43">
        <v>1000</v>
      </c>
      <c r="F43" t="s">
        <v>38</v>
      </c>
      <c r="G43" t="s">
        <v>4</v>
      </c>
      <c r="H43" t="s">
        <v>55</v>
      </c>
      <c r="I43" t="s">
        <v>108</v>
      </c>
    </row>
    <row r="44" spans="1:9" x14ac:dyDescent="0.25">
      <c r="A44">
        <v>512012011</v>
      </c>
      <c r="B44" t="s">
        <v>12</v>
      </c>
      <c r="C44" t="s">
        <v>66</v>
      </c>
      <c r="D44" t="s">
        <v>67</v>
      </c>
      <c r="E44">
        <v>-20000</v>
      </c>
      <c r="F44" t="s">
        <v>3</v>
      </c>
      <c r="G44" t="s">
        <v>52</v>
      </c>
      <c r="H44" t="s">
        <v>68</v>
      </c>
      <c r="I44">
        <v>40683</v>
      </c>
    </row>
    <row r="45" spans="1:9" x14ac:dyDescent="0.25">
      <c r="A45">
        <v>512012011</v>
      </c>
      <c r="B45" t="s">
        <v>13</v>
      </c>
      <c r="C45" t="s">
        <v>66</v>
      </c>
      <c r="D45" t="s">
        <v>67</v>
      </c>
      <c r="E45">
        <v>20000</v>
      </c>
      <c r="F45" t="s">
        <v>3</v>
      </c>
      <c r="G45" t="s">
        <v>4</v>
      </c>
      <c r="H45" t="s">
        <v>68</v>
      </c>
      <c r="I45">
        <v>40683</v>
      </c>
    </row>
    <row r="46" spans="1:9" x14ac:dyDescent="0.25">
      <c r="A46">
        <v>512612011</v>
      </c>
      <c r="B46" t="s">
        <v>111</v>
      </c>
      <c r="C46" t="s">
        <v>70</v>
      </c>
      <c r="D46" t="s">
        <v>71</v>
      </c>
      <c r="E46">
        <v>20000</v>
      </c>
      <c r="F46" t="s">
        <v>3</v>
      </c>
      <c r="G46" t="s">
        <v>52</v>
      </c>
      <c r="H46" t="s">
        <v>72</v>
      </c>
      <c r="I46" t="s">
        <v>91</v>
      </c>
    </row>
    <row r="47" spans="1:9" x14ac:dyDescent="0.25">
      <c r="A47" t="s">
        <v>91</v>
      </c>
      <c r="B47" t="s">
        <v>0</v>
      </c>
      <c r="C47" t="s">
        <v>1</v>
      </c>
      <c r="D47" t="s">
        <v>73</v>
      </c>
      <c r="E47">
        <v>220</v>
      </c>
      <c r="F47" t="s">
        <v>3</v>
      </c>
      <c r="G47" t="s">
        <v>4</v>
      </c>
      <c r="H47" t="s">
        <v>74</v>
      </c>
      <c r="I47" t="s">
        <v>91</v>
      </c>
    </row>
    <row r="48" spans="1:9" x14ac:dyDescent="0.25">
      <c r="A48">
        <v>40689</v>
      </c>
      <c r="B48" t="s">
        <v>0</v>
      </c>
      <c r="C48" t="s">
        <v>1</v>
      </c>
      <c r="D48" t="s">
        <v>2</v>
      </c>
      <c r="E48">
        <v>100</v>
      </c>
      <c r="F48" t="s">
        <v>3</v>
      </c>
      <c r="G48" t="s">
        <v>4</v>
      </c>
      <c r="H48" t="s">
        <v>5</v>
      </c>
      <c r="I48">
        <v>40689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zoomScale="75" workbookViewId="0">
      <selection sqref="A1:I48"/>
    </sheetView>
  </sheetViews>
  <sheetFormatPr defaultColWidth="9.33203125" defaultRowHeight="13.2" x14ac:dyDescent="0.25"/>
  <cols>
    <col min="1" max="1" width="17.21875" customWidth="1"/>
    <col min="2" max="2" width="19" bestFit="1" customWidth="1"/>
    <col min="3" max="3" width="15.88671875" bestFit="1" customWidth="1"/>
    <col min="4" max="4" width="26.6640625" bestFit="1" customWidth="1"/>
    <col min="5" max="5" width="22.5546875" customWidth="1"/>
    <col min="6" max="6" width="10.6640625" customWidth="1"/>
    <col min="7" max="7" width="5.77734375" bestFit="1" customWidth="1"/>
    <col min="8" max="8" width="8.5546875" bestFit="1" customWidth="1"/>
    <col min="9" max="9" width="15.88671875" customWidth="1"/>
    <col min="12" max="12" width="16.5546875" bestFit="1" customWidth="1"/>
    <col min="13" max="13" width="15.21875" bestFit="1" customWidth="1"/>
  </cols>
  <sheetData>
    <row r="1" spans="1:14" ht="31.2" x14ac:dyDescent="0.25">
      <c r="A1" s="27" t="s">
        <v>28</v>
      </c>
      <c r="B1" s="28" t="s">
        <v>30</v>
      </c>
      <c r="C1" s="28" t="s">
        <v>31</v>
      </c>
      <c r="D1" s="28" t="s">
        <v>32</v>
      </c>
      <c r="E1" s="29" t="s">
        <v>33</v>
      </c>
      <c r="F1" s="29" t="s">
        <v>6</v>
      </c>
      <c r="G1" s="29" t="s">
        <v>109</v>
      </c>
      <c r="H1" s="30" t="s">
        <v>110</v>
      </c>
      <c r="I1" s="31" t="s">
        <v>34</v>
      </c>
    </row>
    <row r="2" spans="1:14" ht="15.6" x14ac:dyDescent="0.25">
      <c r="A2" s="20">
        <v>40588</v>
      </c>
      <c r="B2" s="3" t="s">
        <v>29</v>
      </c>
      <c r="C2" s="3" t="s">
        <v>35</v>
      </c>
      <c r="D2" s="3" t="s">
        <v>36</v>
      </c>
      <c r="E2" s="3" t="s">
        <v>37</v>
      </c>
      <c r="F2" s="2" t="s">
        <v>38</v>
      </c>
      <c r="G2" s="3" t="s">
        <v>4</v>
      </c>
      <c r="H2" s="3" t="s">
        <v>39</v>
      </c>
      <c r="I2" s="22" t="s">
        <v>40</v>
      </c>
    </row>
    <row r="3" spans="1:14" ht="31.2" x14ac:dyDescent="0.25">
      <c r="A3" s="21">
        <v>31112011</v>
      </c>
      <c r="B3" s="3" t="s">
        <v>19</v>
      </c>
      <c r="C3" s="3" t="s">
        <v>41</v>
      </c>
      <c r="D3" s="3" t="s">
        <v>42</v>
      </c>
      <c r="E3" s="5">
        <v>179</v>
      </c>
      <c r="F3" s="2" t="s">
        <v>38</v>
      </c>
      <c r="G3" s="3" t="s">
        <v>4</v>
      </c>
      <c r="H3" s="3" t="s">
        <v>43</v>
      </c>
      <c r="I3" s="23">
        <v>40633</v>
      </c>
      <c r="L3" s="9"/>
      <c r="M3" s="10"/>
      <c r="N3" s="11"/>
    </row>
    <row r="4" spans="1:14" ht="15.6" x14ac:dyDescent="0.25">
      <c r="A4" s="21">
        <v>31212011</v>
      </c>
      <c r="B4" s="3" t="s">
        <v>21</v>
      </c>
      <c r="C4" s="4">
        <v>1381119</v>
      </c>
      <c r="D4" s="3" t="s">
        <v>44</v>
      </c>
      <c r="E4" s="5">
        <v>478</v>
      </c>
      <c r="F4" s="2" t="s">
        <v>38</v>
      </c>
      <c r="G4" s="3" t="s">
        <v>4</v>
      </c>
      <c r="H4" s="3" t="s">
        <v>45</v>
      </c>
      <c r="I4" s="24">
        <v>40547</v>
      </c>
      <c r="L4" s="12"/>
      <c r="M4" s="13"/>
      <c r="N4" s="14"/>
    </row>
    <row r="5" spans="1:14" ht="15.6" x14ac:dyDescent="0.25">
      <c r="A5" s="21">
        <v>31512011</v>
      </c>
      <c r="B5" s="3" t="s">
        <v>11</v>
      </c>
      <c r="C5" s="3" t="s">
        <v>1</v>
      </c>
      <c r="D5" s="3" t="s">
        <v>46</v>
      </c>
      <c r="E5" s="5">
        <v>340</v>
      </c>
      <c r="F5" s="2" t="s">
        <v>38</v>
      </c>
      <c r="G5" s="3" t="s">
        <v>4</v>
      </c>
      <c r="H5" s="3" t="s">
        <v>47</v>
      </c>
      <c r="I5" s="25">
        <v>31512011</v>
      </c>
      <c r="L5" s="12"/>
      <c r="M5" s="13"/>
      <c r="N5" s="14"/>
    </row>
    <row r="6" spans="1:14" ht="31.2" x14ac:dyDescent="0.25">
      <c r="A6" s="21">
        <v>311512011</v>
      </c>
      <c r="B6" s="3" t="s">
        <v>9</v>
      </c>
      <c r="C6" s="3" t="s">
        <v>48</v>
      </c>
      <c r="D6" s="3" t="s">
        <v>49</v>
      </c>
      <c r="E6" s="5">
        <v>50</v>
      </c>
      <c r="F6" s="2" t="s">
        <v>38</v>
      </c>
      <c r="G6" s="3" t="s">
        <v>4</v>
      </c>
      <c r="H6" s="3" t="s">
        <v>50</v>
      </c>
      <c r="I6" s="23">
        <v>40617</v>
      </c>
      <c r="L6" s="12"/>
      <c r="M6" s="13"/>
      <c r="N6" s="14"/>
    </row>
    <row r="7" spans="1:14" ht="31.2" x14ac:dyDescent="0.25">
      <c r="A7" s="21">
        <v>311512011</v>
      </c>
      <c r="B7" s="3" t="s">
        <v>9</v>
      </c>
      <c r="C7" s="3" t="s">
        <v>48</v>
      </c>
      <c r="D7" s="3" t="s">
        <v>51</v>
      </c>
      <c r="E7" s="5">
        <v>35</v>
      </c>
      <c r="F7" s="2" t="s">
        <v>38</v>
      </c>
      <c r="G7" s="3" t="s">
        <v>52</v>
      </c>
      <c r="H7" s="3" t="s">
        <v>50</v>
      </c>
      <c r="I7" s="23">
        <v>40617</v>
      </c>
      <c r="L7" s="12"/>
      <c r="M7" s="13"/>
      <c r="N7" s="14"/>
    </row>
    <row r="8" spans="1:14" ht="15.6" x14ac:dyDescent="0.25">
      <c r="A8" s="21">
        <v>311512011</v>
      </c>
      <c r="B8" s="3" t="s">
        <v>16</v>
      </c>
      <c r="C8" s="3" t="s">
        <v>53</v>
      </c>
      <c r="D8" s="3" t="s">
        <v>54</v>
      </c>
      <c r="E8" s="6">
        <v>1000</v>
      </c>
      <c r="F8" s="2" t="s">
        <v>38</v>
      </c>
      <c r="G8" s="3" t="s">
        <v>4</v>
      </c>
      <c r="H8" s="3" t="s">
        <v>55</v>
      </c>
      <c r="I8" s="22" t="s">
        <v>56</v>
      </c>
      <c r="L8" s="12"/>
      <c r="M8" s="13"/>
      <c r="N8" s="14"/>
    </row>
    <row r="9" spans="1:14" ht="15.6" x14ac:dyDescent="0.25">
      <c r="A9" s="21">
        <v>311512011</v>
      </c>
      <c r="B9" s="3" t="s">
        <v>20</v>
      </c>
      <c r="C9" s="3" t="s">
        <v>57</v>
      </c>
      <c r="D9" s="3" t="s">
        <v>58</v>
      </c>
      <c r="E9" s="5">
        <v>90</v>
      </c>
      <c r="F9" s="2" t="s">
        <v>38</v>
      </c>
      <c r="G9" s="3" t="s">
        <v>59</v>
      </c>
      <c r="H9" s="3" t="s">
        <v>60</v>
      </c>
      <c r="I9" s="23">
        <v>40617</v>
      </c>
      <c r="L9" s="12"/>
      <c r="M9" s="13"/>
      <c r="N9" s="14"/>
    </row>
    <row r="10" spans="1:14" ht="15.6" x14ac:dyDescent="0.25">
      <c r="A10" s="19" t="s">
        <v>61</v>
      </c>
      <c r="B10" s="3" t="s">
        <v>23</v>
      </c>
      <c r="C10" s="3" t="s">
        <v>62</v>
      </c>
      <c r="D10" s="3" t="s">
        <v>63</v>
      </c>
      <c r="E10" s="5">
        <v>200</v>
      </c>
      <c r="F10" s="2" t="s">
        <v>38</v>
      </c>
      <c r="G10" s="3" t="s">
        <v>4</v>
      </c>
      <c r="H10" s="3" t="s">
        <v>64</v>
      </c>
      <c r="I10" s="23">
        <v>40620</v>
      </c>
      <c r="L10" s="12"/>
      <c r="M10" s="13"/>
      <c r="N10" s="14"/>
    </row>
    <row r="11" spans="1:14" ht="15.6" x14ac:dyDescent="0.25">
      <c r="A11" s="19" t="s">
        <v>65</v>
      </c>
      <c r="B11" s="3" t="s">
        <v>13</v>
      </c>
      <c r="C11" s="3" t="s">
        <v>66</v>
      </c>
      <c r="D11" s="3" t="s">
        <v>67</v>
      </c>
      <c r="E11" s="7">
        <v>-15000</v>
      </c>
      <c r="F11" s="2" t="s">
        <v>3</v>
      </c>
      <c r="G11" s="3" t="s">
        <v>52</v>
      </c>
      <c r="H11" s="3" t="s">
        <v>68</v>
      </c>
      <c r="I11" s="23">
        <v>40622</v>
      </c>
      <c r="L11" s="12"/>
      <c r="M11" s="13"/>
      <c r="N11" s="14"/>
    </row>
    <row r="12" spans="1:14" ht="15.6" x14ac:dyDescent="0.25">
      <c r="A12" s="21">
        <v>312012011</v>
      </c>
      <c r="B12" s="3" t="s">
        <v>13</v>
      </c>
      <c r="C12" s="3" t="s">
        <v>66</v>
      </c>
      <c r="D12" s="3" t="s">
        <v>67</v>
      </c>
      <c r="E12" s="6">
        <v>15000</v>
      </c>
      <c r="F12" s="2" t="s">
        <v>3</v>
      </c>
      <c r="G12" s="3" t="s">
        <v>4</v>
      </c>
      <c r="H12" s="3" t="s">
        <v>68</v>
      </c>
      <c r="I12" s="23">
        <v>40622</v>
      </c>
      <c r="L12" s="12"/>
      <c r="M12" s="13"/>
      <c r="N12" s="14"/>
    </row>
    <row r="13" spans="1:14" ht="15.6" x14ac:dyDescent="0.25">
      <c r="A13" s="19" t="s">
        <v>69</v>
      </c>
      <c r="B13" s="3" t="s">
        <v>13</v>
      </c>
      <c r="C13" s="3" t="s">
        <v>70</v>
      </c>
      <c r="D13" s="3" t="s">
        <v>71</v>
      </c>
      <c r="E13" s="6">
        <v>13000</v>
      </c>
      <c r="F13" s="2" t="s">
        <v>3</v>
      </c>
      <c r="G13" s="3" t="s">
        <v>52</v>
      </c>
      <c r="H13" s="3" t="s">
        <v>72</v>
      </c>
      <c r="I13" s="22" t="s">
        <v>69</v>
      </c>
      <c r="L13" s="12"/>
      <c r="M13" s="13"/>
      <c r="N13" s="14"/>
    </row>
    <row r="14" spans="1:14" ht="15.6" x14ac:dyDescent="0.25">
      <c r="A14" s="21">
        <v>312612011</v>
      </c>
      <c r="B14" s="3" t="s">
        <v>0</v>
      </c>
      <c r="C14" s="3" t="s">
        <v>1</v>
      </c>
      <c r="D14" s="3" t="s">
        <v>73</v>
      </c>
      <c r="E14" s="5">
        <v>220</v>
      </c>
      <c r="F14" s="2" t="s">
        <v>3</v>
      </c>
      <c r="G14" s="3" t="s">
        <v>4</v>
      </c>
      <c r="H14" s="3" t="s">
        <v>74</v>
      </c>
      <c r="I14" s="22" t="s">
        <v>69</v>
      </c>
      <c r="L14" s="12"/>
      <c r="M14" s="13"/>
      <c r="N14" s="14"/>
    </row>
    <row r="15" spans="1:14" ht="15.6" x14ac:dyDescent="0.25">
      <c r="A15" s="21">
        <v>312612011</v>
      </c>
      <c r="B15" s="3" t="s">
        <v>0</v>
      </c>
      <c r="C15" s="3" t="s">
        <v>1</v>
      </c>
      <c r="D15" s="3" t="s">
        <v>2</v>
      </c>
      <c r="E15" s="5">
        <v>100</v>
      </c>
      <c r="F15" s="2" t="s">
        <v>3</v>
      </c>
      <c r="G15" s="3" t="s">
        <v>4</v>
      </c>
      <c r="H15" s="3" t="s">
        <v>5</v>
      </c>
      <c r="I15" s="22" t="s">
        <v>69</v>
      </c>
      <c r="L15" s="12"/>
      <c r="M15" s="13"/>
      <c r="N15" s="14"/>
    </row>
    <row r="16" spans="1:14" ht="15.6" x14ac:dyDescent="0.25">
      <c r="A16" s="21">
        <v>312612011</v>
      </c>
      <c r="B16" s="3" t="s">
        <v>22</v>
      </c>
      <c r="C16" s="3" t="s">
        <v>1</v>
      </c>
      <c r="D16" s="3" t="s">
        <v>75</v>
      </c>
      <c r="E16" s="6">
        <v>6400</v>
      </c>
      <c r="F16" s="2" t="s">
        <v>38</v>
      </c>
      <c r="G16" s="3" t="s">
        <v>4</v>
      </c>
      <c r="H16" s="3" t="s">
        <v>76</v>
      </c>
      <c r="I16" s="22" t="s">
        <v>69</v>
      </c>
      <c r="L16" s="12"/>
      <c r="M16" s="13"/>
      <c r="N16" s="14"/>
    </row>
    <row r="17" spans="1:14" ht="31.2" x14ac:dyDescent="0.25">
      <c r="A17" s="21">
        <v>313112011</v>
      </c>
      <c r="B17" s="3" t="s">
        <v>111</v>
      </c>
      <c r="C17" s="3" t="s">
        <v>48</v>
      </c>
      <c r="D17" s="3" t="s">
        <v>77</v>
      </c>
      <c r="E17" s="5">
        <v>100</v>
      </c>
      <c r="F17" s="2" t="s">
        <v>3</v>
      </c>
      <c r="G17" s="3" t="s">
        <v>4</v>
      </c>
      <c r="H17" s="3" t="s">
        <v>68</v>
      </c>
      <c r="I17" s="23">
        <v>40633</v>
      </c>
      <c r="L17" s="12"/>
      <c r="M17" s="13"/>
      <c r="N17" s="14"/>
    </row>
    <row r="18" spans="1:14" ht="31.2" x14ac:dyDescent="0.25">
      <c r="A18" s="21">
        <v>313112011</v>
      </c>
      <c r="B18" s="3" t="s">
        <v>13</v>
      </c>
      <c r="C18" s="3" t="s">
        <v>48</v>
      </c>
      <c r="D18" s="3" t="s">
        <v>77</v>
      </c>
      <c r="E18" s="8">
        <v>-100</v>
      </c>
      <c r="F18" s="2" t="s">
        <v>3</v>
      </c>
      <c r="G18" s="3" t="s">
        <v>59</v>
      </c>
      <c r="H18" s="3" t="s">
        <v>68</v>
      </c>
      <c r="I18" s="22" t="s">
        <v>78</v>
      </c>
      <c r="L18" s="12"/>
      <c r="M18" s="13"/>
      <c r="N18" s="14"/>
    </row>
    <row r="19" spans="1:14" ht="31.2" x14ac:dyDescent="0.25">
      <c r="A19" s="21">
        <v>41112011</v>
      </c>
      <c r="B19" s="3" t="s">
        <v>19</v>
      </c>
      <c r="C19" s="3" t="s">
        <v>79</v>
      </c>
      <c r="D19" s="3" t="s">
        <v>42</v>
      </c>
      <c r="E19" s="5">
        <v>179</v>
      </c>
      <c r="F19" s="2" t="s">
        <v>38</v>
      </c>
      <c r="G19" s="3" t="s">
        <v>4</v>
      </c>
      <c r="H19" s="3" t="s">
        <v>43</v>
      </c>
      <c r="I19" s="22" t="s">
        <v>80</v>
      </c>
      <c r="L19" s="12"/>
      <c r="M19" s="13"/>
      <c r="N19" s="14"/>
    </row>
    <row r="20" spans="1:14" ht="15.6" x14ac:dyDescent="0.25">
      <c r="A20" s="21">
        <v>41512011</v>
      </c>
      <c r="B20" s="3" t="s">
        <v>11</v>
      </c>
      <c r="C20" s="3" t="s">
        <v>1</v>
      </c>
      <c r="D20" s="3" t="s">
        <v>46</v>
      </c>
      <c r="E20" s="5">
        <v>340</v>
      </c>
      <c r="F20" s="2" t="s">
        <v>38</v>
      </c>
      <c r="G20" s="3" t="s">
        <v>4</v>
      </c>
      <c r="H20" s="3" t="s">
        <v>47</v>
      </c>
      <c r="I20" s="24">
        <v>40667</v>
      </c>
      <c r="L20" s="15"/>
      <c r="M20" s="16"/>
      <c r="N20" s="17"/>
    </row>
    <row r="21" spans="1:14" ht="15.6" x14ac:dyDescent="0.25">
      <c r="A21" s="21">
        <v>411212011</v>
      </c>
      <c r="B21" s="3" t="s">
        <v>20</v>
      </c>
      <c r="C21" s="3" t="s">
        <v>57</v>
      </c>
      <c r="D21" s="3" t="s">
        <v>58</v>
      </c>
      <c r="E21" s="5">
        <v>87</v>
      </c>
      <c r="F21" s="2" t="s">
        <v>38</v>
      </c>
      <c r="G21" s="3" t="s">
        <v>59</v>
      </c>
      <c r="H21" s="3" t="s">
        <v>60</v>
      </c>
      <c r="I21" s="26">
        <v>40881</v>
      </c>
    </row>
    <row r="22" spans="1:14" ht="31.2" x14ac:dyDescent="0.25">
      <c r="A22" s="21">
        <v>411512011</v>
      </c>
      <c r="B22" s="3" t="s">
        <v>9</v>
      </c>
      <c r="C22" s="3" t="s">
        <v>48</v>
      </c>
      <c r="D22" s="3" t="s">
        <v>49</v>
      </c>
      <c r="E22" s="5">
        <v>80</v>
      </c>
      <c r="F22" s="2" t="s">
        <v>38</v>
      </c>
      <c r="G22" s="3" t="s">
        <v>4</v>
      </c>
      <c r="H22" s="3" t="s">
        <v>50</v>
      </c>
      <c r="I22" s="23">
        <v>40648</v>
      </c>
    </row>
    <row r="23" spans="1:14" ht="31.2" x14ac:dyDescent="0.25">
      <c r="A23" s="21">
        <v>411512011</v>
      </c>
      <c r="B23" s="3" t="s">
        <v>9</v>
      </c>
      <c r="C23" s="3" t="s">
        <v>48</v>
      </c>
      <c r="D23" s="3" t="s">
        <v>51</v>
      </c>
      <c r="E23" s="5">
        <v>35</v>
      </c>
      <c r="F23" s="2" t="s">
        <v>38</v>
      </c>
      <c r="G23" s="3" t="s">
        <v>52</v>
      </c>
      <c r="H23" s="3" t="s">
        <v>50</v>
      </c>
      <c r="I23" s="23">
        <v>40648</v>
      </c>
    </row>
    <row r="24" spans="1:14" ht="15.6" x14ac:dyDescent="0.25">
      <c r="A24" s="21">
        <v>411512011</v>
      </c>
      <c r="B24" s="3" t="s">
        <v>17</v>
      </c>
      <c r="C24" s="3" t="s">
        <v>53</v>
      </c>
      <c r="D24" s="3" t="s">
        <v>54</v>
      </c>
      <c r="E24" s="6">
        <v>1000</v>
      </c>
      <c r="F24" s="2" t="s">
        <v>38</v>
      </c>
      <c r="G24" s="3" t="s">
        <v>4</v>
      </c>
      <c r="H24" s="3" t="s">
        <v>55</v>
      </c>
      <c r="I24" s="22" t="s">
        <v>81</v>
      </c>
    </row>
    <row r="25" spans="1:14" ht="15.6" x14ac:dyDescent="0.25">
      <c r="A25" s="21">
        <v>412012011</v>
      </c>
      <c r="B25" s="3" t="s">
        <v>13</v>
      </c>
      <c r="C25" s="3" t="s">
        <v>66</v>
      </c>
      <c r="D25" s="3" t="s">
        <v>67</v>
      </c>
      <c r="E25" s="3" t="s">
        <v>82</v>
      </c>
      <c r="F25" s="2" t="s">
        <v>3</v>
      </c>
      <c r="G25" s="3" t="s">
        <v>52</v>
      </c>
      <c r="H25" s="3" t="s">
        <v>68</v>
      </c>
      <c r="I25" s="23">
        <v>40653</v>
      </c>
    </row>
    <row r="26" spans="1:14" ht="15.6" x14ac:dyDescent="0.25">
      <c r="A26" s="21">
        <v>412012011</v>
      </c>
      <c r="B26" s="3" t="s">
        <v>13</v>
      </c>
      <c r="C26" s="3" t="s">
        <v>66</v>
      </c>
      <c r="D26" s="3" t="s">
        <v>67</v>
      </c>
      <c r="E26" s="6">
        <v>20000</v>
      </c>
      <c r="F26" s="2" t="s">
        <v>3</v>
      </c>
      <c r="G26" s="3" t="s">
        <v>4</v>
      </c>
      <c r="H26" s="3" t="s">
        <v>68</v>
      </c>
      <c r="I26" s="23">
        <v>40653</v>
      </c>
    </row>
    <row r="27" spans="1:14" ht="15.6" x14ac:dyDescent="0.25">
      <c r="A27" s="21">
        <v>412512011</v>
      </c>
      <c r="B27" s="3" t="s">
        <v>18</v>
      </c>
      <c r="C27" s="3" t="s">
        <v>83</v>
      </c>
      <c r="D27" s="3" t="s">
        <v>84</v>
      </c>
      <c r="E27" s="6">
        <v>1300</v>
      </c>
      <c r="F27" s="2" t="s">
        <v>3</v>
      </c>
      <c r="G27" s="3" t="s">
        <v>4</v>
      </c>
      <c r="H27" s="3" t="s">
        <v>85</v>
      </c>
      <c r="I27" s="22" t="s">
        <v>86</v>
      </c>
    </row>
    <row r="28" spans="1:14" ht="15.6" x14ac:dyDescent="0.25">
      <c r="A28" s="21">
        <v>412612011</v>
      </c>
      <c r="B28" s="3" t="s">
        <v>13</v>
      </c>
      <c r="C28" s="3" t="s">
        <v>70</v>
      </c>
      <c r="D28" s="3" t="s">
        <v>71</v>
      </c>
      <c r="E28" s="3" t="s">
        <v>87</v>
      </c>
      <c r="F28" s="2" t="s">
        <v>3</v>
      </c>
      <c r="G28" s="3" t="s">
        <v>52</v>
      </c>
      <c r="H28" s="3" t="s">
        <v>72</v>
      </c>
      <c r="I28" s="22" t="s">
        <v>88</v>
      </c>
    </row>
    <row r="29" spans="1:14" ht="15.6" x14ac:dyDescent="0.25">
      <c r="A29" s="21">
        <v>412612011</v>
      </c>
      <c r="B29" s="3" t="s">
        <v>14</v>
      </c>
      <c r="C29" s="3" t="s">
        <v>53</v>
      </c>
      <c r="D29" s="3" t="s">
        <v>89</v>
      </c>
      <c r="E29" s="6">
        <v>3000</v>
      </c>
      <c r="F29" s="2" t="s">
        <v>38</v>
      </c>
      <c r="G29" s="3" t="s">
        <v>4</v>
      </c>
      <c r="H29" s="3" t="s">
        <v>90</v>
      </c>
      <c r="I29" s="22" t="s">
        <v>91</v>
      </c>
    </row>
    <row r="30" spans="1:14" ht="15.6" x14ac:dyDescent="0.25">
      <c r="A30" s="21">
        <v>412612011</v>
      </c>
      <c r="B30" s="3" t="s">
        <v>0</v>
      </c>
      <c r="C30" s="3" t="s">
        <v>1</v>
      </c>
      <c r="D30" s="3" t="s">
        <v>73</v>
      </c>
      <c r="E30" s="5">
        <v>220</v>
      </c>
      <c r="F30" s="2" t="s">
        <v>3</v>
      </c>
      <c r="G30" s="3" t="s">
        <v>4</v>
      </c>
      <c r="H30" s="3" t="s">
        <v>74</v>
      </c>
      <c r="I30" s="22" t="s">
        <v>88</v>
      </c>
    </row>
    <row r="31" spans="1:14" ht="15.6" x14ac:dyDescent="0.25">
      <c r="A31" s="21">
        <v>412612011</v>
      </c>
      <c r="B31" s="3" t="s">
        <v>0</v>
      </c>
      <c r="C31" s="3" t="s">
        <v>1</v>
      </c>
      <c r="D31" s="3" t="s">
        <v>2</v>
      </c>
      <c r="E31" s="5">
        <v>100</v>
      </c>
      <c r="F31" s="2" t="s">
        <v>3</v>
      </c>
      <c r="G31" s="3" t="s">
        <v>4</v>
      </c>
      <c r="H31" s="3" t="s">
        <v>5</v>
      </c>
      <c r="I31" s="22" t="s">
        <v>88</v>
      </c>
    </row>
    <row r="32" spans="1:14" ht="15.6" x14ac:dyDescent="0.25">
      <c r="A32" s="21">
        <v>412612011</v>
      </c>
      <c r="B32" s="3" t="s">
        <v>22</v>
      </c>
      <c r="C32" s="3" t="s">
        <v>1</v>
      </c>
      <c r="D32" s="3" t="s">
        <v>75</v>
      </c>
      <c r="E32" s="6">
        <v>6400</v>
      </c>
      <c r="F32" s="2" t="s">
        <v>38</v>
      </c>
      <c r="G32" s="3" t="s">
        <v>4</v>
      </c>
      <c r="H32" s="3" t="s">
        <v>76</v>
      </c>
      <c r="I32" s="22" t="s">
        <v>88</v>
      </c>
    </row>
    <row r="33" spans="1:9" ht="15.6" x14ac:dyDescent="0.25">
      <c r="A33" s="21">
        <v>412912011</v>
      </c>
      <c r="B33" s="3" t="s">
        <v>15</v>
      </c>
      <c r="C33" s="3" t="s">
        <v>92</v>
      </c>
      <c r="D33" s="3" t="s">
        <v>93</v>
      </c>
      <c r="E33" s="5">
        <v>41</v>
      </c>
      <c r="F33" s="2" t="s">
        <v>38</v>
      </c>
      <c r="G33" s="3" t="s">
        <v>59</v>
      </c>
      <c r="H33" s="3" t="s">
        <v>94</v>
      </c>
      <c r="I33" s="22" t="s">
        <v>95</v>
      </c>
    </row>
    <row r="34" spans="1:9" ht="31.2" x14ac:dyDescent="0.25">
      <c r="A34" s="21">
        <v>413012011</v>
      </c>
      <c r="B34" s="3" t="s">
        <v>111</v>
      </c>
      <c r="C34" s="3" t="s">
        <v>48</v>
      </c>
      <c r="D34" s="3" t="s">
        <v>77</v>
      </c>
      <c r="E34" s="5">
        <v>100</v>
      </c>
      <c r="F34" s="2" t="s">
        <v>3</v>
      </c>
      <c r="G34" s="3" t="s">
        <v>4</v>
      </c>
      <c r="H34" s="3" t="s">
        <v>68</v>
      </c>
      <c r="I34" s="22" t="s">
        <v>96</v>
      </c>
    </row>
    <row r="35" spans="1:9" ht="31.2" x14ac:dyDescent="0.25">
      <c r="A35" s="21">
        <v>413012011</v>
      </c>
      <c r="B35" s="3" t="s">
        <v>13</v>
      </c>
      <c r="C35" s="3" t="s">
        <v>48</v>
      </c>
      <c r="D35" s="3" t="s">
        <v>77</v>
      </c>
      <c r="E35" s="8">
        <v>-100</v>
      </c>
      <c r="F35" s="2" t="s">
        <v>3</v>
      </c>
      <c r="G35" s="3" t="s">
        <v>59</v>
      </c>
      <c r="H35" s="3" t="s">
        <v>68</v>
      </c>
      <c r="I35" s="22" t="s">
        <v>96</v>
      </c>
    </row>
    <row r="36" spans="1:9" ht="31.2" x14ac:dyDescent="0.25">
      <c r="A36" s="21">
        <v>51112011</v>
      </c>
      <c r="B36" s="3" t="s">
        <v>19</v>
      </c>
      <c r="C36" s="3" t="s">
        <v>97</v>
      </c>
      <c r="D36" s="3" t="s">
        <v>42</v>
      </c>
      <c r="E36" s="5">
        <v>179</v>
      </c>
      <c r="F36" s="2" t="s">
        <v>38</v>
      </c>
      <c r="G36" s="3" t="s">
        <v>4</v>
      </c>
      <c r="H36" s="3" t="s">
        <v>43</v>
      </c>
      <c r="I36" s="22" t="s">
        <v>98</v>
      </c>
    </row>
    <row r="37" spans="1:9" ht="15.6" x14ac:dyDescent="0.25">
      <c r="A37" s="21">
        <v>51112011</v>
      </c>
      <c r="B37" s="3" t="s">
        <v>24</v>
      </c>
      <c r="C37" s="3" t="s">
        <v>53</v>
      </c>
      <c r="D37" s="3" t="s">
        <v>99</v>
      </c>
      <c r="E37" s="5">
        <v>220</v>
      </c>
      <c r="F37" s="2" t="s">
        <v>38</v>
      </c>
      <c r="G37" s="3" t="s">
        <v>4</v>
      </c>
      <c r="H37" s="3" t="s">
        <v>100</v>
      </c>
      <c r="I37" s="23">
        <v>40694</v>
      </c>
    </row>
    <row r="38" spans="1:9" ht="15.6" x14ac:dyDescent="0.25">
      <c r="A38" s="21">
        <v>51512011</v>
      </c>
      <c r="B38" s="3" t="s">
        <v>11</v>
      </c>
      <c r="C38" s="3" t="s">
        <v>1</v>
      </c>
      <c r="D38" s="3" t="s">
        <v>46</v>
      </c>
      <c r="E38" s="5">
        <v>340</v>
      </c>
      <c r="F38" s="2" t="s">
        <v>38</v>
      </c>
      <c r="G38" s="3" t="s">
        <v>4</v>
      </c>
      <c r="H38" s="3" t="s">
        <v>47</v>
      </c>
      <c r="I38" s="22" t="s">
        <v>101</v>
      </c>
    </row>
    <row r="39" spans="1:9" ht="15.6" x14ac:dyDescent="0.25">
      <c r="A39" s="21">
        <v>51712011</v>
      </c>
      <c r="B39" s="3" t="s">
        <v>10</v>
      </c>
      <c r="C39" s="3" t="s">
        <v>102</v>
      </c>
      <c r="D39" s="3" t="s">
        <v>103</v>
      </c>
      <c r="E39" s="5">
        <v>563</v>
      </c>
      <c r="F39" s="2" t="s">
        <v>38</v>
      </c>
      <c r="G39" s="3" t="s">
        <v>4</v>
      </c>
      <c r="H39" s="3" t="s">
        <v>64</v>
      </c>
      <c r="I39" s="22" t="s">
        <v>104</v>
      </c>
    </row>
    <row r="40" spans="1:9" ht="15.6" x14ac:dyDescent="0.25">
      <c r="A40" s="21">
        <v>51712011</v>
      </c>
      <c r="B40" s="3" t="s">
        <v>25</v>
      </c>
      <c r="C40" s="3" t="s">
        <v>53</v>
      </c>
      <c r="D40" s="3" t="s">
        <v>105</v>
      </c>
      <c r="E40" s="5">
        <v>982</v>
      </c>
      <c r="F40" s="2" t="s">
        <v>38</v>
      </c>
      <c r="G40" s="4">
        <v>81</v>
      </c>
      <c r="H40" s="3" t="s">
        <v>106</v>
      </c>
      <c r="I40" s="24">
        <v>40700</v>
      </c>
    </row>
    <row r="41" spans="1:9" ht="31.2" x14ac:dyDescent="0.25">
      <c r="A41" s="21">
        <v>511512011</v>
      </c>
      <c r="B41" s="3" t="s">
        <v>9</v>
      </c>
      <c r="C41" s="3" t="s">
        <v>48</v>
      </c>
      <c r="D41" s="3" t="s">
        <v>51</v>
      </c>
      <c r="E41" s="5">
        <v>80</v>
      </c>
      <c r="F41" s="2" t="s">
        <v>38</v>
      </c>
      <c r="G41" s="3" t="s">
        <v>4</v>
      </c>
      <c r="H41" s="3" t="s">
        <v>50</v>
      </c>
      <c r="I41" s="22" t="s">
        <v>107</v>
      </c>
    </row>
    <row r="42" spans="1:9" ht="31.2" x14ac:dyDescent="0.25">
      <c r="A42" s="21">
        <v>511512011</v>
      </c>
      <c r="B42" s="3" t="s">
        <v>9</v>
      </c>
      <c r="C42" s="3" t="s">
        <v>48</v>
      </c>
      <c r="D42" s="3" t="s">
        <v>51</v>
      </c>
      <c r="E42" s="5">
        <v>35</v>
      </c>
      <c r="F42" s="2" t="s">
        <v>38</v>
      </c>
      <c r="G42" s="4">
        <v>62</v>
      </c>
      <c r="H42" s="3" t="s">
        <v>50</v>
      </c>
      <c r="I42" s="22" t="s">
        <v>107</v>
      </c>
    </row>
    <row r="43" spans="1:9" ht="15.6" x14ac:dyDescent="0.25">
      <c r="A43" s="21">
        <v>511512011</v>
      </c>
      <c r="B43" s="3" t="s">
        <v>16</v>
      </c>
      <c r="C43" s="3" t="s">
        <v>53</v>
      </c>
      <c r="D43" s="3" t="s">
        <v>54</v>
      </c>
      <c r="E43" s="6">
        <v>1000</v>
      </c>
      <c r="F43" s="2" t="s">
        <v>38</v>
      </c>
      <c r="G43" s="3" t="s">
        <v>4</v>
      </c>
      <c r="H43" s="3" t="s">
        <v>55</v>
      </c>
      <c r="I43" s="22" t="s">
        <v>108</v>
      </c>
    </row>
    <row r="44" spans="1:9" ht="15.6" x14ac:dyDescent="0.25">
      <c r="A44" s="21">
        <v>512012011</v>
      </c>
      <c r="B44" s="3" t="s">
        <v>12</v>
      </c>
      <c r="C44" s="3" t="s">
        <v>66</v>
      </c>
      <c r="D44" s="3" t="s">
        <v>67</v>
      </c>
      <c r="E44" s="7">
        <v>-20000</v>
      </c>
      <c r="F44" s="2" t="s">
        <v>3</v>
      </c>
      <c r="G44" s="3" t="s">
        <v>52</v>
      </c>
      <c r="H44" s="3" t="s">
        <v>68</v>
      </c>
      <c r="I44" s="23">
        <v>40683</v>
      </c>
    </row>
    <row r="45" spans="1:9" ht="15.6" x14ac:dyDescent="0.25">
      <c r="A45" s="21">
        <v>512012011</v>
      </c>
      <c r="B45" s="3" t="s">
        <v>13</v>
      </c>
      <c r="C45" s="3" t="s">
        <v>66</v>
      </c>
      <c r="D45" s="3" t="s">
        <v>67</v>
      </c>
      <c r="E45" s="3" t="s">
        <v>87</v>
      </c>
      <c r="F45" s="2" t="s">
        <v>3</v>
      </c>
      <c r="G45" s="3" t="s">
        <v>4</v>
      </c>
      <c r="H45" s="3" t="s">
        <v>68</v>
      </c>
      <c r="I45" s="23">
        <v>40683</v>
      </c>
    </row>
    <row r="46" spans="1:9" ht="15.6" x14ac:dyDescent="0.25">
      <c r="A46" s="21">
        <v>512612011</v>
      </c>
      <c r="B46" s="3" t="s">
        <v>111</v>
      </c>
      <c r="C46" s="3" t="s">
        <v>70</v>
      </c>
      <c r="D46" s="3" t="s">
        <v>71</v>
      </c>
      <c r="E46" s="6">
        <v>20000</v>
      </c>
      <c r="F46" s="2" t="s">
        <v>3</v>
      </c>
      <c r="G46" s="3" t="s">
        <v>52</v>
      </c>
      <c r="H46" s="3" t="s">
        <v>72</v>
      </c>
      <c r="I46" s="22" t="s">
        <v>91</v>
      </c>
    </row>
    <row r="47" spans="1:9" ht="15.6" x14ac:dyDescent="0.25">
      <c r="A47" s="19" t="s">
        <v>91</v>
      </c>
      <c r="B47" s="3" t="s">
        <v>0</v>
      </c>
      <c r="C47" s="3" t="s">
        <v>1</v>
      </c>
      <c r="D47" s="3" t="s">
        <v>73</v>
      </c>
      <c r="E47" s="5">
        <v>220</v>
      </c>
      <c r="F47" s="2" t="s">
        <v>3</v>
      </c>
      <c r="G47" s="3" t="s">
        <v>4</v>
      </c>
      <c r="H47" s="3" t="s">
        <v>74</v>
      </c>
      <c r="I47" s="22" t="s">
        <v>91</v>
      </c>
    </row>
    <row r="48" spans="1:9" ht="15.6" x14ac:dyDescent="0.3">
      <c r="A48" s="32">
        <v>40689</v>
      </c>
      <c r="B48" s="33" t="s">
        <v>0</v>
      </c>
      <c r="C48" s="33" t="s">
        <v>1</v>
      </c>
      <c r="D48" s="33" t="s">
        <v>2</v>
      </c>
      <c r="E48" s="33">
        <v>100</v>
      </c>
      <c r="F48" s="34" t="s">
        <v>3</v>
      </c>
      <c r="G48" s="33" t="s">
        <v>4</v>
      </c>
      <c r="H48" s="33" t="s">
        <v>5</v>
      </c>
      <c r="I48" s="35">
        <v>40689</v>
      </c>
    </row>
    <row r="56" spans="12:13" x14ac:dyDescent="0.25">
      <c r="L56" s="1" t="s">
        <v>7</v>
      </c>
      <c r="M56" t="s">
        <v>27</v>
      </c>
    </row>
    <row r="57" spans="12:13" x14ac:dyDescent="0.25">
      <c r="L57" t="s">
        <v>8</v>
      </c>
      <c r="M57">
        <v>1</v>
      </c>
    </row>
    <row r="58" spans="12:13" x14ac:dyDescent="0.25">
      <c r="L58" t="s">
        <v>9</v>
      </c>
      <c r="M58">
        <v>6</v>
      </c>
    </row>
    <row r="59" spans="12:13" x14ac:dyDescent="0.25">
      <c r="L59" t="s">
        <v>10</v>
      </c>
      <c r="M59">
        <v>1</v>
      </c>
    </row>
    <row r="60" spans="12:13" x14ac:dyDescent="0.25">
      <c r="L60" t="s">
        <v>11</v>
      </c>
      <c r="M60">
        <v>3</v>
      </c>
    </row>
    <row r="61" spans="12:13" x14ac:dyDescent="0.25">
      <c r="L61" t="s">
        <v>12</v>
      </c>
      <c r="M61">
        <v>1</v>
      </c>
    </row>
    <row r="62" spans="12:13" x14ac:dyDescent="0.25">
      <c r="L62" t="s">
        <v>13</v>
      </c>
      <c r="M62">
        <v>12</v>
      </c>
    </row>
    <row r="63" spans="12:13" x14ac:dyDescent="0.25">
      <c r="L63" t="s">
        <v>14</v>
      </c>
      <c r="M63">
        <v>1</v>
      </c>
    </row>
    <row r="64" spans="12:13" x14ac:dyDescent="0.25">
      <c r="L64" t="s">
        <v>15</v>
      </c>
      <c r="M64">
        <v>1</v>
      </c>
    </row>
    <row r="65" spans="12:13" x14ac:dyDescent="0.25">
      <c r="L65" t="s">
        <v>0</v>
      </c>
      <c r="M65">
        <v>6</v>
      </c>
    </row>
    <row r="66" spans="12:13" x14ac:dyDescent="0.25">
      <c r="L66" t="s">
        <v>16</v>
      </c>
      <c r="M66">
        <v>2</v>
      </c>
    </row>
    <row r="67" spans="12:13" x14ac:dyDescent="0.25">
      <c r="L67" t="s">
        <v>17</v>
      </c>
      <c r="M67">
        <v>1</v>
      </c>
    </row>
    <row r="68" spans="12:13" x14ac:dyDescent="0.25">
      <c r="L68" t="s">
        <v>18</v>
      </c>
      <c r="M68">
        <v>1</v>
      </c>
    </row>
    <row r="69" spans="12:13" x14ac:dyDescent="0.25">
      <c r="L69" t="s">
        <v>19</v>
      </c>
      <c r="M69">
        <v>3</v>
      </c>
    </row>
    <row r="70" spans="12:13" x14ac:dyDescent="0.25">
      <c r="L70" t="s">
        <v>20</v>
      </c>
      <c r="M70">
        <v>2</v>
      </c>
    </row>
    <row r="71" spans="12:13" x14ac:dyDescent="0.25">
      <c r="L71" t="s">
        <v>21</v>
      </c>
      <c r="M71">
        <v>1</v>
      </c>
    </row>
    <row r="72" spans="12:13" x14ac:dyDescent="0.25">
      <c r="L72" t="s">
        <v>22</v>
      </c>
      <c r="M72">
        <v>2</v>
      </c>
    </row>
    <row r="73" spans="12:13" x14ac:dyDescent="0.25">
      <c r="L73" t="s">
        <v>23</v>
      </c>
      <c r="M73">
        <v>1</v>
      </c>
    </row>
    <row r="74" spans="12:13" x14ac:dyDescent="0.25">
      <c r="L74" t="s">
        <v>24</v>
      </c>
      <c r="M74">
        <v>1</v>
      </c>
    </row>
    <row r="75" spans="12:13" x14ac:dyDescent="0.25">
      <c r="L75" t="s">
        <v>25</v>
      </c>
      <c r="M75">
        <v>1</v>
      </c>
    </row>
    <row r="76" spans="12:13" x14ac:dyDescent="0.25">
      <c r="L76" t="s">
        <v>26</v>
      </c>
      <c r="M76">
        <v>47</v>
      </c>
    </row>
  </sheetData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2BAD58-2265-4753-B5EF-7DE514E9AC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Q3</vt:lpstr>
      <vt:lpstr>Q4</vt:lpstr>
      <vt:lpstr>Data- Q1-Q2 Ans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Siddh Patel</cp:lastModifiedBy>
  <dcterms:created xsi:type="dcterms:W3CDTF">2023-12-01T10:14:39Z</dcterms:created>
  <dcterms:modified xsi:type="dcterms:W3CDTF">2023-12-28T09:32:36Z</dcterms:modified>
</cp:coreProperties>
</file>